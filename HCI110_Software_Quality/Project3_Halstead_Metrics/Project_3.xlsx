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https://myresources.deloitte.com/personal/evagianou_deloitte_gr/Documents/Documents/Personal/HCI/SQ/"/>
    </mc:Choice>
  </mc:AlternateContent>
  <xr:revisionPtr revIDLastSave="1084" documentId="8_{1A844FE9-6BFD-47EF-BCBF-8FEBBE93A049}" xr6:coauthVersionLast="47" xr6:coauthVersionMax="47" xr10:uidLastSave="{C55D4D77-AF0D-4B4C-A606-5E62B389503D}"/>
  <bookViews>
    <workbookView xWindow="-110" yWindow="-110" windowWidth="19420" windowHeight="11500" activeTab="1" xr2:uid="{69EE144A-46DF-4976-845A-F198714C9FC5}"/>
  </bookViews>
  <sheets>
    <sheet name="Python" sheetId="2" r:id="rId1"/>
    <sheet name="ANSI C" sheetId="1" r:id="rId2"/>
    <sheet name="Comparisson" sheetId="3" r:id="rId3"/>
  </sheets>
  <calcPr calcId="191029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4" i="3" l="1"/>
  <c r="L9" i="1"/>
  <c r="K9" i="2"/>
  <c r="D3" i="1" a="1"/>
  <c r="D3" i="1" s="1"/>
  <c r="C2" i="3" s="1" a="1"/>
  <c r="C2" i="3" s="1"/>
  <c r="F3" i="1" a="1"/>
  <c r="F3" i="1" s="1"/>
  <c r="C4" i="3" s="1" a="1"/>
  <c r="C4" i="3" s="1"/>
  <c r="G3" i="2"/>
  <c r="B5" i="3" s="1" a="1"/>
  <c r="B5" i="3" s="1"/>
  <c r="F3" i="2"/>
  <c r="B4" i="3" s="1" a="1"/>
  <c r="B4" i="3" s="1"/>
  <c r="E3" i="2"/>
  <c r="B3" i="3" s="1"/>
  <c r="D3" i="2"/>
  <c r="J6" i="2" s="1"/>
  <c r="B10" i="3" s="1" a="1"/>
  <c r="B10" i="3" s="1"/>
  <c r="G3" i="1"/>
  <c r="C5" i="3" s="1" a="1"/>
  <c r="C5" i="3" s="1"/>
  <c r="E3" i="1"/>
  <c r="C3" i="3" s="1"/>
  <c r="J6" i="1" l="1"/>
  <c r="C10" i="3" s="1" a="1"/>
  <c r="C10" i="3" s="1"/>
  <c r="D10" i="3" s="1"/>
  <c r="D3" i="3"/>
  <c r="D4" i="3"/>
  <c r="D5" i="3"/>
  <c r="B2" i="3" a="1"/>
  <c r="B2" i="3" s="1"/>
  <c r="D2" i="3" s="1"/>
  <c r="K6" i="2"/>
  <c r="B11" i="3" s="1" a="1"/>
  <c r="B11" i="3" s="1"/>
  <c r="J3" i="2"/>
  <c r="B7" i="3" s="1" a="1"/>
  <c r="B7" i="3" s="1"/>
  <c r="K3" i="2"/>
  <c r="B8" i="3" s="1" a="1"/>
  <c r="B8" i="3" s="1"/>
  <c r="I3" i="2"/>
  <c r="B6" i="3" s="1" a="1"/>
  <c r="B6" i="3" s="1"/>
  <c r="J3" i="1"/>
  <c r="C7" i="3" s="1" a="1"/>
  <c r="C7" i="3" s="1"/>
  <c r="I3" i="1"/>
  <c r="C6" i="3" s="1" a="1"/>
  <c r="C6" i="3" s="1"/>
  <c r="K3" i="1"/>
  <c r="C8" i="3" s="1" a="1"/>
  <c r="C8" i="3" s="1"/>
  <c r="K6" i="1" l="1"/>
  <c r="C11" i="3" s="1" a="1"/>
  <c r="C11" i="3" s="1"/>
  <c r="D11" i="3" s="1"/>
  <c r="D6" i="3"/>
  <c r="D7" i="3"/>
  <c r="D8" i="3"/>
  <c r="I6" i="2"/>
  <c r="I6" i="1"/>
  <c r="I9" i="1" l="1"/>
  <c r="K9" i="1" s="1"/>
  <c r="C9" i="3" a="1"/>
  <c r="C9" i="3" s="1"/>
  <c r="I9" i="2"/>
  <c r="B9" i="3" a="1"/>
  <c r="B9" i="3" s="1"/>
  <c r="D9" i="3" l="1"/>
  <c r="J9" i="1"/>
  <c r="C13" i="3" s="1" a="1"/>
  <c r="C13" i="3" s="1"/>
  <c r="C14" i="3" a="1"/>
  <c r="C14" i="3" s="1"/>
  <c r="C12" i="3" a="1"/>
  <c r="C12" i="3" s="1"/>
  <c r="B14" i="3" a="1"/>
  <c r="B14" i="3" s="1"/>
  <c r="B12" i="3" a="1"/>
  <c r="B12" i="3" s="1"/>
  <c r="J9" i="2"/>
  <c r="B13" i="3" s="1" a="1"/>
  <c r="B13" i="3" s="1"/>
  <c r="D13" i="3" l="1"/>
  <c r="D12" i="3"/>
  <c r="D14" i="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<sst xmlns="http://schemas.openxmlformats.org/spreadsheetml/2006/main" count="245" uniqueCount="189">
  <si>
    <t>#</t>
  </si>
  <si>
    <t>Python</t>
  </si>
  <si>
    <t>n</t>
  </si>
  <si>
    <t>V</t>
  </si>
  <si>
    <t>D</t>
  </si>
  <si>
    <t>E</t>
  </si>
  <si>
    <t>T</t>
  </si>
  <si>
    <t>B</t>
  </si>
  <si>
    <t>!=</t>
  </si>
  <si>
    <t>+=</t>
  </si>
  <si>
    <t>,</t>
  </si>
  <si>
    <t>-</t>
  </si>
  <si>
    <t>=</t>
  </si>
  <si>
    <t>==</t>
  </si>
  <si>
    <t>and</t>
  </si>
  <si>
    <t>return</t>
  </si>
  <si>
    <t>count</t>
  </si>
  <si>
    <t>largest</t>
  </si>
  <si>
    <t>num_str</t>
  </si>
  <si>
    <t>number</t>
  </si>
  <si>
    <t>smallest</t>
  </si>
  <si>
    <t>user_input</t>
  </si>
  <si>
    <t xml:space="preserve">        </t>
  </si>
  <si>
    <t xml:space="preserve">    </t>
  </si>
  <si>
    <t>def kaprekar_routine(number):</t>
  </si>
  <si>
    <t>    count = 0</t>
  </si>
  <si>
    <t>    while number != 6174:</t>
  </si>
  <si>
    <t>        num_str = f"{number:04d}"</t>
  </si>
  <si>
    <t>        number = largest - smallest</t>
  </si>
  <si>
    <t>        count += 1</t>
  </si>
  <si>
    <t>        print(f"Step {count}: {largest} - {smallest} = {number}")</t>
  </si>
  <si>
    <t>        if number == 0:</t>
  </si>
  <si>
    <t>            return -1</t>
  </si>
  <si>
    <t>while True:</t>
  </si>
  <si>
    <t>            print("All digits are the same. Try again.")</t>
  </si>
  <si>
    <t>            kaprekar_routine(int(user_input))</t>
  </si>
  <si>
    <t>    else:</t>
  </si>
  <si>
    <t>code</t>
  </si>
  <si>
    <t># Ask user for input</t>
  </si>
  <si>
    <t>while :</t>
  </si>
  <si>
    <t>def :</t>
  </si>
  <si>
    <t>comment</t>
  </si>
  <si>
    <t>int ( )</t>
  </si>
  <si>
    <t xml:space="preserve"> </t>
  </si>
  <si>
    <t>( )</t>
  </si>
  <si>
    <t>f"{number:04d}"</t>
  </si>
  <si>
    <t>print( )</t>
  </si>
  <si>
    <r>
      <t xml:space="preserve">        </t>
    </r>
    <r>
      <rPr>
        <b/>
        <i/>
        <sz val="7"/>
        <rFont val="Consolas"/>
        <family val="3"/>
        <charset val="161"/>
      </rPr>
      <t>#Convert number to 4-digit string</t>
    </r>
  </si>
  <si>
    <r>
      <t xml:space="preserve">        </t>
    </r>
    <r>
      <rPr>
        <b/>
        <i/>
        <sz val="7"/>
        <rFont val="Consolas"/>
        <family val="3"/>
        <charset val="161"/>
      </rPr>
      <t># Create largest and smallest numbers from digits</t>
    </r>
  </si>
  <si>
    <r>
      <t xml:space="preserve">        </t>
    </r>
    <r>
      <rPr>
        <b/>
        <i/>
        <sz val="7"/>
        <rFont val="Consolas"/>
        <family val="3"/>
        <charset val="161"/>
      </rPr>
      <t># Subtract</t>
    </r>
  </si>
  <si>
    <r>
      <t xml:space="preserve">        </t>
    </r>
    <r>
      <rPr>
        <b/>
        <i/>
        <sz val="7"/>
        <rFont val="Consolas"/>
        <family val="3"/>
        <charset val="161"/>
      </rPr>
      <t># Check for a trivial loop (all digits equal)</t>
    </r>
  </si>
  <si>
    <t>            print("This number reaches 0 and won't reach 6174.")</t>
  </si>
  <si>
    <t>    print(f"Kaprekar's constant reached in {count} steps!")</t>
  </si>
  <si>
    <t>    user_input = input("Enter a 4-digit number (at least two different digits): ")</t>
  </si>
  <si>
    <t>        print("Invalid input. Enter exactly 4 digits.")</t>
  </si>
  <si>
    <t>if :</t>
  </si>
  <si>
    <t>if : else:</t>
  </si>
  <si>
    <t>f"Step {count}: {largest} - {smallest} = {number}"</t>
  </si>
  <si>
    <t>f"Kaprekar's constant reached in {count} steps!"</t>
  </si>
  <si>
    <t>input( )</t>
  </si>
  <si>
    <t>len( )</t>
  </si>
  <si>
    <t>set( )</t>
  </si>
  <si>
    <t>            break</t>
  </si>
  <si>
    <t xml:space="preserve">        else:</t>
  </si>
  <si>
    <t>break</t>
  </si>
  <si>
    <r>
      <t>n</t>
    </r>
    <r>
      <rPr>
        <vertAlign val="subscript"/>
        <sz val="11"/>
        <color theme="1"/>
        <rFont val="Calibri"/>
        <family val="2"/>
        <charset val="161"/>
      </rPr>
      <t>1</t>
    </r>
  </si>
  <si>
    <r>
      <t>n</t>
    </r>
    <r>
      <rPr>
        <vertAlign val="subscript"/>
        <sz val="11"/>
        <color theme="1"/>
        <rFont val="Calibri"/>
        <family val="2"/>
        <charset val="161"/>
      </rPr>
      <t>2</t>
    </r>
  </si>
  <si>
    <r>
      <t>N</t>
    </r>
    <r>
      <rPr>
        <vertAlign val="subscript"/>
        <sz val="11"/>
        <color theme="1"/>
        <rFont val="Calibri"/>
        <family val="2"/>
        <charset val="161"/>
      </rPr>
      <t>est</t>
    </r>
  </si>
  <si>
    <r>
      <t>L</t>
    </r>
    <r>
      <rPr>
        <vertAlign val="subscript"/>
        <sz val="11"/>
        <color theme="1"/>
        <rFont val="Calibri"/>
        <family val="2"/>
        <charset val="161"/>
      </rPr>
      <t>est</t>
    </r>
  </si>
  <si>
    <t>operators</t>
  </si>
  <si>
    <t xml:space="preserve"># </t>
  </si>
  <si>
    <t xml:space="preserve">N </t>
  </si>
  <si>
    <r>
      <t>N</t>
    </r>
    <r>
      <rPr>
        <vertAlign val="subscript"/>
        <sz val="11"/>
        <color theme="1"/>
        <rFont val="Calibri"/>
        <family val="2"/>
        <charset val="161"/>
      </rPr>
      <t xml:space="preserve">1 </t>
    </r>
  </si>
  <si>
    <r>
      <t>N</t>
    </r>
    <r>
      <rPr>
        <vertAlign val="subscript"/>
        <sz val="11"/>
        <color theme="1"/>
        <rFont val="Calibri"/>
        <family val="2"/>
        <charset val="161"/>
      </rPr>
      <t xml:space="preserve">2 </t>
    </r>
  </si>
  <si>
    <t>.join()</t>
  </si>
  <si>
    <t>sorted()</t>
  </si>
  <si>
    <t>""</t>
  </si>
  <si>
    <t>reverse</t>
  </si>
  <si>
    <t xml:space="preserve">True </t>
  </si>
  <si>
    <t>kaprekar_routine()</t>
  </si>
  <si>
    <t>.isdigit()</t>
  </si>
  <si>
    <t>ANSI C</t>
  </si>
  <si>
    <t>#include &lt;stdio.h&gt;</t>
  </si>
  <si>
    <t>#include &lt;stdlib.h&gt;</t>
  </si>
  <si>
    <t>void kaprekar_routine(int number) {</t>
  </si>
  <si>
    <t>    int count = 0;</t>
  </si>
  <si>
    <t>    if (number % 1111 == 0) {</t>
  </si>
  <si>
    <t>        printf("The number %04d is not valid for Kaprekar's routine.\n", number);</t>
  </si>
  <si>
    <t>        return;</t>
  </si>
  <si>
    <t>    }</t>
  </si>
  <si>
    <t>    while (number != 6174) {</t>
  </si>
  <si>
    <t>        int digits [4];</t>
  </si>
  <si>
    <t>        int i;</t>
  </si>
  <si>
    <t>        // Extract digits</t>
  </si>
  <si>
    <t>        digits[0] = number / 1000;</t>
  </si>
  <si>
    <t>        digits[1] = (number / 100) % 10;</t>
  </si>
  <si>
    <t>        digits[2] = (number / 10) % 10;</t>
  </si>
  <si>
    <t>        digits[3] = number % 10;</t>
  </si>
  <si>
    <t>        // Sort digits ascending (simple bubble sort)</t>
  </si>
  <si>
    <t>        for (i = 0; i &lt; 3; i++) {</t>
  </si>
  <si>
    <t>            int j;</t>
  </si>
  <si>
    <t>            for (j = i+1; j &lt; 4; j++) {</t>
  </si>
  <si>
    <t>                if (digits[i] &gt; digits[j]) {</t>
  </si>
  <si>
    <t>                    int temp = digits[i];</t>
  </si>
  <si>
    <t>                    digits[i] = digits[j];</t>
  </si>
  <si>
    <t>                    digits[j] = temp;</t>
  </si>
  <si>
    <t>                }</t>
  </si>
  <si>
    <t>            }</t>
  </si>
  <si>
    <t>        }</t>
  </si>
  <si>
    <t>        // Form the smallest number</t>
  </si>
  <si>
    <t>        int smallest = digits[0] * 1000 + digits[1] * 100 + digits[2] * 10 + digits[3];</t>
  </si>
  <si>
    <t>void</t>
  </si>
  <si>
    <t>int</t>
  </si>
  <si>
    <t>;</t>
  </si>
  <si>
    <t>%</t>
  </si>
  <si>
    <t>if ( )</t>
  </si>
  <si>
    <t>{ }</t>
  </si>
  <si>
    <t>printf( )</t>
  </si>
  <si>
    <t>while ( )</t>
  </si>
  <si>
    <t>i</t>
  </si>
  <si>
    <t>/</t>
  </si>
  <si>
    <t>for ( ; ; )</t>
  </si>
  <si>
    <t>&lt;</t>
  </si>
  <si>
    <t xml:space="preserve">++ </t>
  </si>
  <si>
    <t>j</t>
  </si>
  <si>
    <t>+</t>
  </si>
  <si>
    <t>&gt;</t>
  </si>
  <si>
    <t>temp</t>
  </si>
  <si>
    <t>}</t>
  </si>
  <si>
    <t>        // Form the largest number</t>
  </si>
  <si>
    <t>        int largest = digits[3] * 1000 + digits[2] * 100 + digits[1] * 10 + digits[0];</t>
  </si>
  <si>
    <t>        number = largest - smallest;</t>
  </si>
  <si>
    <t>        count++;</t>
  </si>
  <si>
    <t>        printf("Step %d: %d - %d = %d\n", count, largest, smallest, number);</t>
  </si>
  <si>
    <t>    printf("Reached Kaprekar's constant 6174 in %d steps.\n", count);</t>
  </si>
  <si>
    <t>int main() {</t>
  </si>
  <si>
    <t>    int number;</t>
  </si>
  <si>
    <t>    printf("Enter a four-digit number (at least two different digits): ");</t>
  </si>
  <si>
    <t>    scanf("%d", &amp;number);</t>
  </si>
  <si>
    <t>*</t>
  </si>
  <si>
    <t>"Step %d: %d - %d = %d\n"</t>
  </si>
  <si>
    <t>"Reached Kaprekar's constant 6174 in %d steps.\n"</t>
  </si>
  <si>
    <t>"The number %04d is not valid for Kaprekar's routine.\n"</t>
  </si>
  <si>
    <t>main(  ) { }</t>
  </si>
  <si>
    <t>"Enter a four-digit number (at least two different digits): "</t>
  </si>
  <si>
    <t>scanf( , )</t>
  </si>
  <si>
    <t>&amp;</t>
  </si>
  <si>
    <t>"%d"</t>
  </si>
  <si>
    <t>if( ) else</t>
  </si>
  <si>
    <t>||</t>
  </si>
  <si>
    <t>"Please enter a valid four-digit number.\n"</t>
  </si>
  <si>
    <t>kaprekar_routine ( )</t>
  </si>
  <si>
    <t>maybe def kap…(): operator??</t>
  </si>
  <si>
    <t>.join() or . / join()</t>
  </si>
  <si>
    <t>"This number reaches 0 and won't reach 6174."</t>
  </si>
  <si>
    <t>"Enter a 4-digit number (at least two different digits): "</t>
  </si>
  <si>
    <t>.isdigit() ??</t>
  </si>
  <si>
    <t>"Invalid input. Enter exactly 4 digits."</t>
  </si>
  <si>
    <t>"All digits are the same. Try again."</t>
  </si>
  <si>
    <t xml:space="preserve">digits [ ] </t>
  </si>
  <si>
    <t>kaprekar_routine( ) { }</t>
  </si>
  <si>
    <t>operands</t>
  </si>
  <si>
    <t>metrics</t>
  </si>
  <si>
    <t>Description</t>
  </si>
  <si>
    <t>Distinct operators</t>
  </si>
  <si>
    <t>Total operators</t>
  </si>
  <si>
    <t>Distinct operands</t>
  </si>
  <si>
    <t>Total operands</t>
  </si>
  <si>
    <t>Program Length</t>
  </si>
  <si>
    <t>Program Vocabulary size</t>
  </si>
  <si>
    <t>Program Volume</t>
  </si>
  <si>
    <t>Program Level</t>
  </si>
  <si>
    <t>Program Difficulty / error proneness</t>
  </si>
  <si>
    <t>Program Effort</t>
  </si>
  <si>
    <t>Programming Time</t>
  </si>
  <si>
    <t>Program Length Estimator</t>
  </si>
  <si>
    <r>
      <t>E</t>
    </r>
    <r>
      <rPr>
        <vertAlign val="subscript"/>
        <sz val="11"/>
        <color theme="1"/>
        <rFont val="Calibri"/>
        <family val="2"/>
        <charset val="161"/>
      </rPr>
      <t>0</t>
    </r>
  </si>
  <si>
    <r>
      <t>E</t>
    </r>
    <r>
      <rPr>
        <vertAlign val="subscript"/>
        <sz val="11"/>
        <color theme="1"/>
        <rFont val="Aptos"/>
        <family val="2"/>
        <charset val="161"/>
      </rPr>
      <t>0</t>
    </r>
  </si>
  <si>
    <t>Larger</t>
  </si>
  <si>
    <t>    if (number &lt; 1000 || number &gt; 9999) {</t>
  </si>
  <si>
    <t>        printf("Please enter a valid four-digit number.\n");</t>
  </si>
  <si>
    <t>    } else {</t>
  </si>
  <si>
    <t>        kaprekar_routine(number);</t>
  </si>
  <si>
    <t>    return 0;</t>
  </si>
  <si>
    <t>        largest = int("".join(sorted(num_str, reverse=True)))</t>
  </si>
  <si>
    <t>        smallest = int("".join(sorted(num_str)))</t>
  </si>
  <si>
    <t>    if user_input.isdigit() and len(user_input) == 4:</t>
  </si>
  <si>
    <t>        if len(set(user_input)) == 1:</t>
  </si>
  <si>
    <t>digits[ 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</si>
</sst>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Aptos"/>
      <family val="2"/>
    </font>
    <font>
      <sz val="11"/>
      <color theme="1"/>
      <name val="Calibri"/>
      <family val="2"/>
    </font>
    <font>
      <b/>
      <sz val="7"/>
      <name val="Consolas"/>
      <family val="3"/>
      <charset val="161"/>
    </font>
    <font>
      <b/>
      <i/>
      <sz val="7"/>
      <name val="Consolas"/>
      <family val="3"/>
      <charset val="161"/>
    </font>
    <font>
      <b/>
      <sz val="11"/>
      <name val="Calibri"/>
      <family val="2"/>
    </font>
    <font>
      <sz val="11"/>
      <name val="Calibri"/>
      <family val="2"/>
    </font>
    <font>
      <vertAlign val="subscript"/>
      <sz val="11"/>
      <color theme="1"/>
      <name val="Calibri"/>
      <family val="2"/>
      <charset val="161"/>
    </font>
    <font>
      <b/>
      <sz val="20"/>
      <color theme="9"/>
      <name val="Calibri"/>
      <family val="2"/>
      <charset val="161"/>
    </font>
    <font>
      <sz val="7"/>
      <name val="Consolas"/>
      <family val="3"/>
      <charset val="161"/>
    </font>
    <font>
      <b/>
      <sz val="11"/>
      <name val="Aptos"/>
      <family val="2"/>
    </font>
    <font>
      <b/>
      <sz val="11"/>
      <color theme="1"/>
      <name val="Calibri"/>
      <family val="2"/>
      <charset val="161"/>
    </font>
    <font>
      <b/>
      <sz val="11"/>
      <name val="Calibri"/>
      <family val="2"/>
      <charset val="161"/>
    </font>
    <font>
      <sz val="11"/>
      <color theme="1"/>
      <name val="Calibri"/>
      <family val="2"/>
      <charset val="161"/>
    </font>
    <font>
      <sz val="11"/>
      <color rgb="FF000000"/>
      <name val="Calibri"/>
      <family val="2"/>
    </font>
    <font>
      <vertAlign val="subscript"/>
      <sz val="11"/>
      <color theme="1"/>
      <name val="Aptos"/>
      <family val="2"/>
      <charset val="161"/>
    </font>
  </fonts>
  <fills count="4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theme="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/>
    <xf numFmtId="0" fontId="2" fillId="0" borderId="0" xfId="0" applyFont="1" applyAlignment="1">
      <alignment vertical="center"/>
    </xf>
    <xf numFmtId="0" fontId="4" fillId="0" borderId="0" xfId="0" applyFont="1" applyAlignment="1"/>
    <xf numFmtId="0" fontId="1" fillId="0" borderId="0" xfId="0" applyFont="1" applyAlignment="1">
      <alignment horizontal="left"/>
    </xf>
    <xf numFmtId="0" fontId="5" fillId="0" borderId="0" xfId="0" quotePrefix="1" applyFont="1" applyAlignment="1">
      <alignment horizontal="left"/>
    </xf>
    <xf numFmtId="0" fontId="1" fillId="0" borderId="0" xfId="0" quotePrefix="1" applyFont="1" applyAlignment="1">
      <alignment horizontal="left"/>
    </xf>
    <xf numFmtId="49" fontId="1" fillId="0" borderId="0" xfId="0" applyNumberFormat="1" applyFont="1" applyAlignment="1">
      <alignment horizontal="center" vertical="center"/>
    </xf>
    <xf numFmtId="0" fontId="8" fillId="0" borderId="0" xfId="0" applyFont="1" applyAlignment="1">
      <alignment vertical="center"/>
    </xf>
    <xf numFmtId="0" fontId="2" fillId="0" borderId="0" xfId="0" applyFont="1" applyFill="1" applyAlignment="1">
      <alignment vertical="center"/>
    </xf>
    <xf numFmtId="0" fontId="9" fillId="0" borderId="0" xfId="0" applyFont="1" applyFill="1" applyAlignment="1">
      <alignment vertical="center"/>
    </xf>
    <xf numFmtId="0" fontId="2" fillId="2" borderId="0" xfId="0" applyFont="1" applyFill="1" applyAlignment="1">
      <alignment vertical="center"/>
    </xf>
    <xf numFmtId="0" fontId="10" fillId="0" borderId="0" xfId="0" applyFont="1" applyAlignment="1">
      <alignment horizontal="center"/>
    </xf>
    <xf numFmtId="0" fontId="11" fillId="0" borderId="0" xfId="0" applyFont="1" applyAlignment="1">
      <alignment horizontal="center"/>
    </xf>
    <xf numFmtId="0" fontId="1" fillId="3" borderId="0" xfId="0" applyFont="1" applyFill="1" applyAlignment="1">
      <alignment horizontal="left"/>
    </xf>
    <xf numFmtId="0" fontId="1" fillId="3" borderId="0" xfId="0" applyFont="1" applyFill="1" applyAlignment="1">
      <alignment horizontal="center"/>
    </xf>
    <xf numFmtId="0" fontId="12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2" borderId="0" xfId="0" applyFont="1" applyFill="1" applyAlignment="1">
      <alignment vertical="center"/>
    </xf>
    <xf numFmtId="0" fontId="7" fillId="0" borderId="0" xfId="0" applyFont="1" applyAlignment="1">
      <alignment horizontal="center" vertical="center"/>
    </xf>
  </cellXfs>
  <cellStyles count="1">
    <cellStyle name="Normal" xfId="0" builtinId="0" customBuiltin="1"/>
  </cellStyles>
  <dxfs count="68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7"/>
        <color auto="1"/>
        <name val="Consolas"/>
        <family val="3"/>
        <charset val="161"/>
        <scheme val="none"/>
      </font>
      <alignment horizontal="general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color auto="1"/>
      </font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7"/>
        <color auto="1"/>
        <name val="Consolas"/>
        <family val="3"/>
        <charset val="161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7"/>
        <color auto="1"/>
        <name val="Consolas"/>
        <family val="3"/>
        <charset val="161"/>
        <scheme val="none"/>
      </font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7"/>
        <color auto="1"/>
        <name val="Consolas"/>
        <family val="3"/>
        <charset val="161"/>
        <scheme val="none"/>
      </font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7"/>
        <color auto="1"/>
        <name val="Consolas"/>
        <family val="3"/>
        <charset val="161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2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646484E3-FA1E-4523-8BAD-ECAA7D1F8699}" name="Table18" displayName="Table18" ref="I2:K3" totalsRowShown="0" headerRowDxfId="67" dataDxfId="66">
  <autoFilter ref="I2:K3" xr:uid="{E47947EC-2395-42D5-B111-008805799900}">
    <filterColumn colId="0" hiddenButton="1"/>
    <filterColumn colId="1" hiddenButton="1"/>
    <filterColumn colId="2" hiddenButton="1"/>
  </autoFilter>
  <tableColumns count="3">
    <tableColumn id="1" xr3:uid="{F44F98E4-3FCA-483A-B871-249075C4CE80}" name="n" dataDxfId="65">
      <calculatedColumnFormula>D3+F3</calculatedColumnFormula>
    </tableColumn>
    <tableColumn id="2" xr3:uid="{7BD131D6-1867-4707-BFCB-7538E0FC6229}" name="N " dataDxfId="64">
      <calculatedColumnFormula>E3+G3</calculatedColumnFormula>
    </tableColumn>
    <tableColumn id="3" xr3:uid="{D9518CD6-3114-4C75-A2A3-D285718437DF}" name="Nest" dataDxfId="63">
      <calculatedColumnFormula>D3*LOG(D3,2)+F3*LOG(F3,2)</calculatedColumnFormula>
    </tableColumn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B10AFAEE-AEBC-4475-B2C6-1628F0A593C5}" name="Table29" displayName="Table29" ref="I5:K6" totalsRowShown="0" headerRowDxfId="62" dataDxfId="61">
  <autoFilter ref="I5:K6" xr:uid="{10B85870-F466-4DE0-83C8-E721326022A1}">
    <filterColumn colId="0" hiddenButton="1"/>
    <filterColumn colId="1" hiddenButton="1"/>
    <filterColumn colId="2" hiddenButton="1"/>
  </autoFilter>
  <tableColumns count="3">
    <tableColumn id="1" xr3:uid="{7050E20B-22BF-4A78-8AED-7D7B5DB16D80}" name="V" dataDxfId="60">
      <calculatedColumnFormula>J3*LOG(I3,2)</calculatedColumnFormula>
    </tableColumn>
    <tableColumn id="2" xr3:uid="{14869ECF-6801-4A6A-8709-BBC19600DF95}" name="Lest" dataDxfId="59">
      <calculatedColumnFormula>2*F3/(D3*G3)</calculatedColumnFormula>
    </tableColumn>
    <tableColumn id="3" xr3:uid="{43236193-AD9D-4D39-96EB-59D323EF3CD7}" name="D" dataDxfId="58">
      <calculatedColumnFormula>1/J6</calculatedColumnFormula>
    </tableColumn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E0A7BFB5-D7FF-468D-A13C-64FC0CF6DAA5}" name="Table310" displayName="Table310" ref="I8:L9" totalsRowShown="0" headerRowDxfId="57" dataDxfId="56">
  <autoFilter ref="I8:L9" xr:uid="{CF86ACD7-2397-4DA3-BBC4-D336DAAD6126}">
    <filterColumn colId="0" hiddenButton="1"/>
    <filterColumn colId="1" hiddenButton="1"/>
    <filterColumn colId="2" hiddenButton="1"/>
    <filterColumn colId="3" hiddenButton="1"/>
  </autoFilter>
  <tableColumns count="4">
    <tableColumn id="1" xr3:uid="{FDEB1738-2F98-4E19-A43B-51DA7F2870BB}" name="E" dataDxfId="55">
      <calculatedColumnFormula>K6*I6</calculatedColumnFormula>
    </tableColumn>
    <tableColumn id="2" xr3:uid="{7ECF3DB6-CD90-44CB-8DF0-83F717EF7E02}" name="T" dataDxfId="54">
      <calculatedColumnFormula>I9/18</calculatedColumnFormula>
    </tableColumn>
    <tableColumn id="3" xr3:uid="{49B8CB6F-8677-4A86-8BD3-56736FFCAD76}" name="B" dataDxfId="53">
      <calculatedColumnFormula>POWER(I9,2/3)/L9</calculatedColumnFormula>
    </tableColumn>
    <tableColumn id="4" xr3:uid="{17585A34-2069-4359-B2A2-65975AC505A5}" name="E0" dataDxfId="52"/>
  </tableColumns>
  <tableStyleInfo name="TableStyleLight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941D04D9-AD93-4380-9474-B63129D83B76}" name="Table411" displayName="Table411" ref="D2:G3" totalsRowShown="0" headerRowDxfId="51" dataDxfId="50">
  <autoFilter ref="D2:G3" xr:uid="{75CBCCF3-E5C4-487C-BA13-3543BEA412D0}">
    <filterColumn colId="0" hiddenButton="1"/>
    <filterColumn colId="1" hiddenButton="1"/>
    <filterColumn colId="2" hiddenButton="1"/>
    <filterColumn colId="3" hiddenButton="1"/>
  </autoFilter>
  <tableColumns count="4">
    <tableColumn id="3" xr3:uid="{10B42FDD-A740-471D-90B7-DFDC9A7C2615}" name="n1" dataDxfId="49">
      <calculatedColumnFormula>COUNTA(D6:D300)</calculatedColumnFormula>
    </tableColumn>
    <tableColumn id="4" xr3:uid="{426BF2E8-36EA-4C08-BDF5-905000EF374A}" name="N1 " dataDxfId="48">
      <calculatedColumnFormula>SUM(E6:E300)</calculatedColumnFormula>
    </tableColumn>
    <tableColumn id="5" xr3:uid="{0DAAE2B2-8826-4C52-86FA-30A762C18973}" name="n2" dataDxfId="47">
      <calculatedColumnFormula>COUNTA(F6:F300)</calculatedColumnFormula>
    </tableColumn>
    <tableColumn id="6" xr3:uid="{C9BE0EBE-4604-4CFA-988F-5D9C4B165863}" name="N2 " dataDxfId="46">
      <calculatedColumnFormula>SUM(G6:G300)</calculatedColumnFormula>
    </tableColumn>
  </tableColumns>
  <tableStyleInfo name="TableStyleLight1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35B71955-62CE-43E6-8D41-091515901291}" name="Table512" displayName="Table512" ref="D5:G28" totalsRowShown="0" headerRowDxfId="45" dataDxfId="44">
  <autoFilter ref="D5:G28" xr:uid="{89389857-7796-4FF2-8757-868B431DFD94}">
    <filterColumn colId="0" hiddenButton="1"/>
    <filterColumn colId="1" hiddenButton="1"/>
    <filterColumn colId="2" hiddenButton="1"/>
    <filterColumn colId="3" hiddenButton="1"/>
  </autoFilter>
  <tableColumns count="4">
    <tableColumn id="2" xr3:uid="{0D23D791-C4E0-4CE2-A7C2-C662EDE89E35}" name="operators" dataDxfId="43"/>
    <tableColumn id="3" xr3:uid="{BAE12B3D-E986-4A1D-A4CD-AA58946F2BA5}" name="# " dataDxfId="42"/>
    <tableColumn id="4" xr3:uid="{D919D918-F939-45BD-876A-6145645F37D8}" name="operands" dataDxfId="41"/>
    <tableColumn id="5" xr3:uid="{52982375-0F54-45FF-8913-2ECC49CDE0AA}" name="#" dataDxfId="40"/>
  </tableColumns>
  <tableStyleInfo name="TableStyleLight1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C5F328B5-13CE-4C6D-B85D-722B052AC044}" name="Table613" displayName="Table613" ref="A2:B37" totalsRowShown="0" headerRowDxfId="39" dataDxfId="38">
  <autoFilter ref="A2:B37" xr:uid="{62EA654F-CFFC-45D9-82C8-09DB521F5E47}">
    <filterColumn colId="0" hiddenButton="1"/>
    <filterColumn colId="1" hiddenButton="1"/>
  </autoFilter>
  <tableColumns count="2">
    <tableColumn id="1" xr3:uid="{5A273451-6A26-4DC7-8F71-BDA22DACEAC0}" name="code" dataDxfId="37"/>
    <tableColumn id="2" xr3:uid="{8E421ACF-9A4F-483D-81D7-BD29F8C077EC}" name="comment" dataDxfId="36"/>
  </tableColumns>
  <tableStyleInfo name="TableStyleLight1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47947EC-2395-42D5-B111-008805799900}" name="Table1" displayName="Table1" ref="I2:K3" totalsRowShown="0" headerRowDxfId="35" dataDxfId="34">
  <autoFilter ref="I2:K3" xr:uid="{E47947EC-2395-42D5-B111-008805799900}">
    <filterColumn colId="0" hiddenButton="1"/>
    <filterColumn colId="1" hiddenButton="1"/>
    <filterColumn colId="2" hiddenButton="1"/>
  </autoFilter>
  <tableColumns count="3">
    <tableColumn id="1" xr3:uid="{11FD69EC-E537-4085-8283-F0F869E13B10}" name="n" dataDxfId="33">
      <calculatedColumnFormula>D3+F3</calculatedColumnFormula>
    </tableColumn>
    <tableColumn id="2" xr3:uid="{9BF74CEF-6BF3-451A-9C90-CA19C5A275FB}" name="N " dataDxfId="32">
      <calculatedColumnFormula>E3+G3</calculatedColumnFormula>
    </tableColumn>
    <tableColumn id="3" xr3:uid="{FF57BC98-68EC-4FC4-9EC0-FB92050CB360}" name="Nest" dataDxfId="31">
      <calculatedColumnFormula>D3*LOG(D3,2)+F3*LOG(F3,2)</calculatedColumnFormula>
    </tableColumn>
  </tableColumns>
  <tableStyleInfo name="TableStyleLight1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0B85870-F466-4DE0-83C8-E721326022A1}" name="Table2" displayName="Table2" ref="I5:K6" totalsRowShown="0" headerRowDxfId="30" dataDxfId="29">
  <autoFilter ref="I5:K6" xr:uid="{10B85870-F466-4DE0-83C8-E721326022A1}">
    <filterColumn colId="0" hiddenButton="1"/>
    <filterColumn colId="1" hiddenButton="1"/>
    <filterColumn colId="2" hiddenButton="1"/>
  </autoFilter>
  <tableColumns count="3">
    <tableColumn id="1" xr3:uid="{F4CFAC0C-5A84-4379-A632-E4A9221A109D}" name="V" dataDxfId="28">
      <calculatedColumnFormula>J3*LOG(I3,2)</calculatedColumnFormula>
    </tableColumn>
    <tableColumn id="2" xr3:uid="{512AF869-ED5A-4CC1-A821-8F27E1222C90}" name="Lest" dataDxfId="27">
      <calculatedColumnFormula>2*F3/(D3*G3)</calculatedColumnFormula>
    </tableColumn>
    <tableColumn id="3" xr3:uid="{0704448A-5F8A-40E9-8BB2-2034B4957C7F}" name="D" dataDxfId="26">
      <calculatedColumnFormula>1/J6</calculatedColumnFormula>
    </tableColumn>
  </tableColumns>
  <tableStyleInfo name="TableStyleLight1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F86ACD7-2397-4DA3-BBC4-D336DAAD6126}" name="Table3" displayName="Table3" ref="I8:L9" totalsRowShown="0" headerRowDxfId="25" dataDxfId="24">
  <autoFilter ref="I8:L9" xr:uid="{CF86ACD7-2397-4DA3-BBC4-D336DAAD6126}">
    <filterColumn colId="0" hiddenButton="1"/>
    <filterColumn colId="1" hiddenButton="1"/>
    <filterColumn colId="2" hiddenButton="1"/>
    <filterColumn colId="3" hiddenButton="1"/>
  </autoFilter>
  <tableColumns count="4">
    <tableColumn id="1" xr3:uid="{77B8B0E8-AC41-4BE2-833C-40E500762C3B}" name="E" dataDxfId="23">
      <calculatedColumnFormula>K6*I6</calculatedColumnFormula>
    </tableColumn>
    <tableColumn id="2" xr3:uid="{6420D21C-EB8C-417D-9477-45C7B7B4C6F9}" name="T" dataDxfId="22">
      <calculatedColumnFormula>I9/18</calculatedColumnFormula>
    </tableColumn>
    <tableColumn id="3" xr3:uid="{18CCCA3C-CE2A-452B-B3AA-83FB74F2583D}" name="B" dataDxfId="21">
      <calculatedColumnFormula>POWER(I9,2/3)/L9</calculatedColumnFormula>
    </tableColumn>
    <tableColumn id="4" xr3:uid="{062FD5ED-7854-49DC-ABEB-94BB91247EFD}" name="E0" dataDxfId="20">
      <calculatedColumnFormula>Table310[[#This Row],[E0]]</calculatedColumnFormula>
    </tableColumn>
  </tableColumns>
  <tableStyleInfo name="TableStyleLight1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75CBCCF3-E5C4-487C-BA13-3543BEA412D0}" name="Table4" displayName="Table4" ref="D2:G3" totalsRowShown="0" headerRowDxfId="19" dataDxfId="18">
  <autoFilter ref="D2:G3" xr:uid="{75CBCCF3-E5C4-487C-BA13-3543BEA412D0}">
    <filterColumn colId="0" hiddenButton="1"/>
    <filterColumn colId="1" hiddenButton="1"/>
    <filterColumn colId="2" hiddenButton="1"/>
    <filterColumn colId="3" hiddenButton="1"/>
  </autoFilter>
  <tableColumns count="4">
    <tableColumn id="3" xr3:uid="{378F0CE5-1BD6-45AF-8058-E92D1D9842E6}" name="n1" dataDxfId="17">
      <calculatedColumnFormula array="1">COUNTA(_xlfn.UNIQUE(_xlfn._xlws.FILTER(D6:D300, D6:D300&lt;&gt;"")))</calculatedColumnFormula>
    </tableColumn>
    <tableColumn id="4" xr3:uid="{748E0454-0349-4D06-846C-B72EF0E0C172}" name="N1 " dataDxfId="16">
      <calculatedColumnFormula>SUM(E6:E300)</calculatedColumnFormula>
    </tableColumn>
    <tableColumn id="5" xr3:uid="{A4F5F8D2-E6EC-411D-881D-CC948D369C41}" name="n2" dataDxfId="15">
      <calculatedColumnFormula array="1">COUNTA(_xlfn.UNIQUE(_xlfn._xlws.FILTER(F6:F300, F6:F300&lt;&gt;"")))</calculatedColumnFormula>
    </tableColumn>
    <tableColumn id="6" xr3:uid="{1BF7ED76-0650-4B83-B139-96C01CAF7406}" name="N2 " dataDxfId="14">
      <calculatedColumnFormula>SUM(G6:G300)</calculatedColumnFormula>
    </tableColumn>
  </tableColumns>
  <tableStyleInfo name="TableStyleLight1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89389857-7796-4FF2-8757-868B431DFD94}" name="Table5" displayName="Table5" ref="D5:G44" totalsRowShown="0" headerRowDxfId="13" dataDxfId="12">
  <autoFilter ref="D5:G44" xr:uid="{89389857-7796-4FF2-8757-868B431DFD94}">
    <filterColumn colId="0" hiddenButton="1"/>
    <filterColumn colId="1" hiddenButton="1"/>
    <filterColumn colId="2" hiddenButton="1"/>
    <filterColumn colId="3" hiddenButton="1"/>
  </autoFilter>
  <tableColumns count="4">
    <tableColumn id="2" xr3:uid="{EE64F77F-6EB8-4559-9786-D03B9040470E}" name="operators" dataDxfId="11"/>
    <tableColumn id="3" xr3:uid="{99849EFF-05F3-4238-9B42-D5FBEDDE07F8}" name="# " dataDxfId="10"/>
    <tableColumn id="4" xr3:uid="{AD1A06C9-3255-4A69-866A-58D60665E48C}" name="operands" dataDxfId="9"/>
    <tableColumn id="5" xr3:uid="{B70FB532-A0D8-4873-B25E-578FBFA5107D}" name="#" dataDxfId="8"/>
  </tableColumns>
  <tableStyleInfo name="TableStyleLight1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62EA654F-CFFC-45D9-82C8-09DB521F5E47}" name="Table6" displayName="Table6" ref="A2:B62" totalsRowShown="0" headerRowDxfId="7" dataDxfId="6">
  <autoFilter ref="A2:B62" xr:uid="{62EA654F-CFFC-45D9-82C8-09DB521F5E47}">
    <filterColumn colId="0" hiddenButton="1"/>
    <filterColumn colId="1" hiddenButton="1"/>
  </autoFilter>
  <tableColumns count="2">
    <tableColumn id="1" xr3:uid="{C8525D6C-3416-41F5-83E1-435C4823E767}" name="code" dataDxfId="5"/>
    <tableColumn id="2" xr3:uid="{FD141AEE-BFE0-4F80-8F42-30C3F60E4A05}" name="comment" dataDxfId="4"/>
  </tableColumns>
  <tableStyleInfo name="TableStyleLight1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D8CDEB9E-F35E-4E7A-A58A-1CF0203CB9D4}" name="Table13" displayName="Table13" ref="A1:E14" totalsRowShown="0">
  <autoFilter ref="A1:E14" xr:uid="{D8CDEB9E-F35E-4E7A-A58A-1CF0203CB9D4}"/>
  <tableColumns count="5">
    <tableColumn id="1" xr3:uid="{0879C422-A314-49B3-A328-B07988ED9AAC}" name="metrics" dataDxfId="3"/>
    <tableColumn id="2" xr3:uid="{963F93CD-45E2-48DD-B4AC-A545EC997570}" name="Python" dataDxfId="2"/>
    <tableColumn id="3" xr3:uid="{64FC6577-01F8-4D52-8549-2CD968EFC8AF}" name="ANSI C" dataDxfId="1"/>
    <tableColumn id="4" xr3:uid="{552E8A38-28A0-4328-93F4-3E040EC9A587}" name="Larger" dataDxfId="0">
      <calculatedColumnFormula>IF(B2&gt;C2,$B$1,$C$1)</calculatedColumnFormula>
    </tableColumn>
    <tableColumn id="5" xr3:uid="{8C5F8E8A-BC61-4A80-9985-EE3977389D17}" name="Description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Deloitte_Brand_Theme_uk_2025">
  <a:themeElements>
    <a:clrScheme name="Custom 3">
      <a:dk1>
        <a:sysClr val="windowText" lastClr="000000"/>
      </a:dk1>
      <a:lt1>
        <a:sysClr val="window" lastClr="FFFFFF"/>
      </a:lt1>
      <a:dk2>
        <a:srgbClr val="53565A"/>
      </a:dk2>
      <a:lt2>
        <a:srgbClr val="D0D0CE"/>
      </a:lt2>
      <a:accent1>
        <a:srgbClr val="86BC25"/>
      </a:accent1>
      <a:accent2>
        <a:srgbClr val="43B02A"/>
      </a:accent2>
      <a:accent3>
        <a:srgbClr val="26890D"/>
      </a:accent3>
      <a:accent4>
        <a:srgbClr val="046A38"/>
      </a:accent4>
      <a:accent5>
        <a:srgbClr val="0D8390"/>
      </a:accent5>
      <a:accent6>
        <a:srgbClr val="007CB0"/>
      </a:accent6>
      <a:hlink>
        <a:srgbClr val="00A3E0"/>
      </a:hlink>
      <a:folHlink>
        <a:srgbClr val="7F7F7F"/>
      </a:folHlink>
    </a:clrScheme>
    <a:fontScheme name="2025">
      <a:majorFont>
        <a:latin typeface="Aptos"/>
        <a:ea typeface=""/>
        <a:cs typeface=""/>
      </a:majorFont>
      <a:minorFont>
        <a:latin typeface="Aptos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gray">
        <a:solidFill>
          <a:schemeClr val="accent3"/>
        </a:solidFill>
        <a:ln w="19050" algn="ctr">
          <a:noFill/>
          <a:miter lim="800000"/>
          <a:headEnd/>
          <a:tailEnd/>
        </a:ln>
      </a:spPr>
      <a:bodyPr wrap="square" lIns="88900" tIns="88900" rIns="88900" bIns="88900" rtlCol="0" anchor="ctr"/>
      <a:lstStyle>
        <a:defPPr>
          <a:lnSpc>
            <a:spcPct val="106000"/>
          </a:lnSpc>
          <a:buFont typeface="Wingdings 2" pitchFamily="18" charset="2"/>
          <a:buNone/>
          <a:defRPr sz="1600" b="1" dirty="0" smtClean="0">
            <a:solidFill>
              <a:schemeClr val="bg1"/>
            </a:solidFill>
          </a:defRPr>
        </a:defPPr>
      </a:lstStyle>
    </a:spDef>
    <a:lnDef>
      <a:spPr>
        <a:ln>
          <a:solidFill>
            <a:schemeClr val="tx2"/>
          </a:solidFill>
        </a:ln>
      </a:spPr>
      <a:bodyPr/>
      <a:lstStyle/>
      <a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a:style>
    </a:lnDef>
    <a:txDef>
      <a:spPr>
        <a:noFill/>
      </a:spPr>
      <a:bodyPr wrap="square" lIns="0" tIns="0" rIns="0" bIns="0" rtlCol="0">
        <a:spAutoFit/>
      </a:bodyPr>
      <a:lstStyle>
        <a:defPPr marL="203200" indent="-203200">
          <a:spcBef>
            <a:spcPts val="600"/>
          </a:spcBef>
          <a:buSzPct val="100000"/>
          <a:buFont typeface="Arial"/>
          <a:buChar char="•"/>
          <a:defRPr dirty="0" smtClean="0">
            <a:solidFill>
              <a:srgbClr val="313131"/>
            </a:solidFill>
          </a:defRPr>
        </a:defPPr>
      </a:lstStyle>
    </a:txDef>
  </a:objectDefaults>
  <a:extraClrSchemeLst/>
  <a:custClrLst>
    <a:custClr name="Green 7">
      <a:srgbClr val="2C5234"/>
    </a:custClr>
    <a:custClr name="Green 6">
      <a:srgbClr val="046A38"/>
    </a:custClr>
    <a:custClr name="Green 5">
      <a:srgbClr val="009A44"/>
    </a:custClr>
    <a:custClr name="Green 4">
      <a:srgbClr val="43B02A"/>
    </a:custClr>
    <a:custClr name="Deloitte Green">
      <a:srgbClr val="86BC25"/>
    </a:custClr>
    <a:custClr name="Green 2">
      <a:srgbClr val="C4D600"/>
    </a:custClr>
    <a:custClr name="Green 1">
      <a:srgbClr val="E3E48D"/>
    </a:custClr>
    <a:custClr name="Teal 7">
      <a:srgbClr val="004F59"/>
    </a:custClr>
    <a:custClr name="Teal 6">
      <a:srgbClr val="007680"/>
    </a:custClr>
    <a:custClr name="Teal 5">
      <a:srgbClr val="0097A9"/>
    </a:custClr>
    <a:custClr name="Teal 4">
      <a:srgbClr val="00ABAB"/>
    </a:custClr>
    <a:custClr name="Teal 3">
      <a:srgbClr val="6FC2B4"/>
    </a:custClr>
    <a:custClr name="Teal 2">
      <a:srgbClr val="9DD4CF"/>
    </a:custClr>
    <a:custClr name="Teal 1">
      <a:srgbClr val="DDEFE8"/>
    </a:custClr>
    <a:custClr name="Blue 7">
      <a:srgbClr val="041E42"/>
    </a:custClr>
    <a:custClr name="Blue 6">
      <a:srgbClr val="012169"/>
    </a:custClr>
    <a:custClr name="Blue 5">
      <a:srgbClr val="005587"/>
    </a:custClr>
    <a:custClr name="Blue 4">
      <a:srgbClr val="0076A8"/>
    </a:custClr>
    <a:custClr name="Blue 3">
      <a:srgbClr val="00A3E0"/>
    </a:custClr>
    <a:custClr name="Blue 2">
      <a:srgbClr val="62B5E5"/>
    </a:custClr>
    <a:custClr name="Blue 1">
      <a:srgbClr val="A0DCFF"/>
    </a:custClr>
    <a:custClr name="Cool Gray 11">
      <a:srgbClr val="53565A"/>
    </a:custClr>
    <a:custClr name="Cool Gray 10">
      <a:srgbClr val="63666A"/>
    </a:custClr>
    <a:custClr name="Cool Gray 9">
      <a:srgbClr val="75787B"/>
    </a:custClr>
    <a:custClr name="Cool Gray 7">
      <a:srgbClr val="97999B"/>
    </a:custClr>
    <a:custClr name="Cool Gray 6">
      <a:srgbClr val="A7A8AA"/>
    </a:custClr>
    <a:custClr name="Cool Gray 4">
      <a:srgbClr val="BBBCBC"/>
    </a:custClr>
    <a:custClr name="Cool Gray 2">
      <a:srgbClr val="D0D0CE"/>
    </a:custClr>
    <a:custClr name="White">
      <a:srgbClr val="FFFFFF"/>
    </a:custClr>
    <a:custClr name="Black">
      <a:srgbClr val="000000"/>
    </a:custClr>
    <a:custClr name="Red">
      <a:srgbClr val="DA291C"/>
    </a:custClr>
    <a:custClr name="Orange">
      <a:srgbClr val="ED8B00"/>
    </a:custClr>
    <a:custClr name="Yellow">
      <a:srgbClr val="FFCD00"/>
    </a:custClr>
  </a:custClrLst>
  <a:extLst>
    <a:ext uri="{05A4C25C-085E-4340-85A3-A5531E510DB2}">
      <thm15:themeFamily xmlns:thm15="http://schemas.microsoft.com/office/thememl/2012/main" name="Deloitte_Brand_Theme_uk_2025" id="{11370B10-F7E7-4C60-9C8A-2110A629F559}" vid="{FBF382A2-F51B-4A7A-A96C-CA084627575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7" Type="http://schemas.openxmlformats.org/officeDocument/2006/relationships/table" Target="../tables/table6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Relationship Id="rId6" Type="http://schemas.openxmlformats.org/officeDocument/2006/relationships/table" Target="../tables/table5.xml"/><Relationship Id="rId5" Type="http://schemas.openxmlformats.org/officeDocument/2006/relationships/table" Target="../tables/table4.xml"/><Relationship Id="rId4" Type="http://schemas.openxmlformats.org/officeDocument/2006/relationships/table" Target="../tables/table3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8.xml"/><Relationship Id="rId7" Type="http://schemas.openxmlformats.org/officeDocument/2006/relationships/table" Target="../tables/table12.xml"/><Relationship Id="rId2" Type="http://schemas.openxmlformats.org/officeDocument/2006/relationships/table" Target="../tables/table7.xml"/><Relationship Id="rId1" Type="http://schemas.openxmlformats.org/officeDocument/2006/relationships/printerSettings" Target="../printerSettings/printerSettings2.bin"/><Relationship Id="rId6" Type="http://schemas.openxmlformats.org/officeDocument/2006/relationships/table" Target="../tables/table11.xml"/><Relationship Id="rId5" Type="http://schemas.openxmlformats.org/officeDocument/2006/relationships/table" Target="../tables/table10.xml"/><Relationship Id="rId4" Type="http://schemas.openxmlformats.org/officeDocument/2006/relationships/table" Target="../tables/table9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4CEAB8-EDD6-40FB-A803-56659C388EF2}">
  <dimension ref="A1:L37"/>
  <sheetViews>
    <sheetView topLeftCell="A13" zoomScale="121" zoomScaleNormal="130" workbookViewId="0">
      <selection activeCell="G26" sqref="G26"/>
    </sheetView>
  </sheetViews>
  <sheetFormatPr defaultRowHeight="14.5" x14ac:dyDescent="0.35"/>
  <cols>
    <col min="1" max="1" width="56.1640625" style="4" bestFit="1" customWidth="1"/>
    <col min="2" max="2" width="20.08203125" style="4" hidden="1" customWidth="1"/>
    <col min="3" max="3" width="1.83203125" style="4" customWidth="1"/>
    <col min="4" max="4" width="15.25" style="1" bestFit="1" customWidth="1"/>
    <col min="5" max="5" width="4.9140625" style="1" customWidth="1"/>
    <col min="6" max="6" width="20.4140625" style="1" customWidth="1"/>
    <col min="7" max="7" width="4.9140625" style="1" customWidth="1"/>
    <col min="8" max="8" width="2.4140625" style="1" customWidth="1"/>
    <col min="9" max="16384" width="8.6640625" style="1"/>
  </cols>
  <sheetData>
    <row r="1" spans="1:12" s="3" customFormat="1" ht="37.5" customHeight="1" x14ac:dyDescent="0.35">
      <c r="A1" s="23" t="s">
        <v>1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</row>
    <row r="2" spans="1:12" s="3" customFormat="1" ht="16.5" x14ac:dyDescent="0.35">
      <c r="A2" s="3" t="s">
        <v>37</v>
      </c>
      <c r="B2" s="3" t="s">
        <v>41</v>
      </c>
      <c r="D2" s="3" t="s">
        <v>65</v>
      </c>
      <c r="E2" s="10" t="s">
        <v>72</v>
      </c>
      <c r="F2" s="3" t="s">
        <v>66</v>
      </c>
      <c r="G2" s="3" t="s">
        <v>73</v>
      </c>
      <c r="I2" s="3" t="s">
        <v>2</v>
      </c>
      <c r="J2" s="3" t="s">
        <v>71</v>
      </c>
      <c r="K2" s="3" t="s">
        <v>67</v>
      </c>
    </row>
    <row r="3" spans="1:12" s="3" customFormat="1" x14ac:dyDescent="0.35">
      <c r="A3" s="5" t="s">
        <v>24</v>
      </c>
      <c r="B3" s="11" t="s">
        <v>152</v>
      </c>
      <c r="C3" s="5"/>
      <c r="D3" s="3">
        <f>COUNTA(D6:D300)</f>
        <v>22</v>
      </c>
      <c r="E3" s="3">
        <f>SUM(E6:E300)</f>
        <v>40</v>
      </c>
      <c r="F3" s="3">
        <f>COUNTA(F6:F300)</f>
        <v>21</v>
      </c>
      <c r="G3" s="3">
        <f>SUM(G6:G300)</f>
        <v>35</v>
      </c>
      <c r="I3" s="3">
        <f>D3+F3</f>
        <v>43</v>
      </c>
      <c r="J3" s="3">
        <f>E3+G3</f>
        <v>75</v>
      </c>
      <c r="K3" s="3">
        <f>D3*LOG(D3,2)+F3*LOG(F3,2)</f>
        <v>190.34616148837449</v>
      </c>
    </row>
    <row r="4" spans="1:12" s="3" customFormat="1" x14ac:dyDescent="0.35">
      <c r="A4" s="5" t="s">
        <v>25</v>
      </c>
      <c r="B4" s="5"/>
      <c r="C4" s="5"/>
    </row>
    <row r="5" spans="1:12" ht="16.5" x14ac:dyDescent="0.35">
      <c r="A5" s="5" t="s">
        <v>26</v>
      </c>
      <c r="B5" s="5"/>
      <c r="C5" s="5"/>
      <c r="D5" s="3" t="s">
        <v>69</v>
      </c>
      <c r="E5" s="3" t="s">
        <v>70</v>
      </c>
      <c r="F5" s="19" t="s">
        <v>161</v>
      </c>
      <c r="G5" s="3" t="s">
        <v>0</v>
      </c>
      <c r="I5" s="3" t="s">
        <v>3</v>
      </c>
      <c r="J5" s="3" t="s">
        <v>68</v>
      </c>
      <c r="K5" s="3" t="s">
        <v>4</v>
      </c>
    </row>
    <row r="6" spans="1:12" x14ac:dyDescent="0.35">
      <c r="A6" s="14" t="s">
        <v>47</v>
      </c>
      <c r="B6" s="5"/>
      <c r="C6" s="5"/>
      <c r="D6" s="7" t="s">
        <v>40</v>
      </c>
      <c r="E6" s="2">
        <v>1</v>
      </c>
      <c r="F6" s="7" t="s">
        <v>19</v>
      </c>
      <c r="G6" s="2">
        <v>4</v>
      </c>
      <c r="I6" s="3">
        <f>J3*LOG(I3,2)</f>
        <v>406.96985660265733</v>
      </c>
      <c r="J6" s="3">
        <f>2*F3/(D3*G3)</f>
        <v>5.4545454545454543E-2</v>
      </c>
      <c r="K6" s="3">
        <f>1/J6</f>
        <v>18.333333333333336</v>
      </c>
    </row>
    <row r="7" spans="1:12" x14ac:dyDescent="0.35">
      <c r="A7" s="5" t="s">
        <v>27</v>
      </c>
      <c r="B7" s="5"/>
      <c r="C7" s="5"/>
      <c r="D7" s="7" t="s">
        <v>12</v>
      </c>
      <c r="E7" s="2">
        <v>5</v>
      </c>
      <c r="F7" s="7" t="s">
        <v>16</v>
      </c>
      <c r="G7" s="2">
        <v>1</v>
      </c>
    </row>
    <row r="8" spans="1:12" ht="16.5" x14ac:dyDescent="0.35">
      <c r="A8" s="6"/>
      <c r="B8" s="5"/>
      <c r="C8" s="5"/>
      <c r="D8" s="7" t="s">
        <v>39</v>
      </c>
      <c r="E8" s="2">
        <v>2</v>
      </c>
      <c r="F8" s="7">
        <v>0</v>
      </c>
      <c r="G8" s="2">
        <v>2</v>
      </c>
      <c r="I8" s="3" t="s">
        <v>5</v>
      </c>
      <c r="J8" s="3" t="s">
        <v>6</v>
      </c>
      <c r="K8" s="3" t="s">
        <v>7</v>
      </c>
      <c r="L8" s="3" t="s">
        <v>176</v>
      </c>
    </row>
    <row r="9" spans="1:12" x14ac:dyDescent="0.35">
      <c r="A9" s="14" t="s">
        <v>48</v>
      </c>
      <c r="B9" s="5"/>
      <c r="C9" s="5"/>
      <c r="D9" s="7" t="s">
        <v>8</v>
      </c>
      <c r="E9" s="2">
        <v>1</v>
      </c>
      <c r="F9" s="7">
        <v>6174</v>
      </c>
      <c r="G9" s="2">
        <v>1</v>
      </c>
      <c r="I9" s="3">
        <f>K6*I6</f>
        <v>7461.1140377153852</v>
      </c>
      <c r="J9" s="3">
        <f>I9/18</f>
        <v>414.5063354286325</v>
      </c>
      <c r="K9" s="3">
        <f>POWER(I9,2/3)/L9</f>
        <v>0.12317070430417841</v>
      </c>
      <c r="L9" s="20">
        <v>3100</v>
      </c>
    </row>
    <row r="10" spans="1:12" x14ac:dyDescent="0.35">
      <c r="A10" s="5" t="s">
        <v>184</v>
      </c>
      <c r="B10" s="11" t="s">
        <v>153</v>
      </c>
      <c r="C10" s="5"/>
      <c r="D10" s="7" t="s">
        <v>42</v>
      </c>
      <c r="E10" s="2">
        <v>2</v>
      </c>
      <c r="F10" s="7" t="s">
        <v>18</v>
      </c>
      <c r="G10" s="2">
        <v>3</v>
      </c>
    </row>
    <row r="11" spans="1:12" x14ac:dyDescent="0.35">
      <c r="A11" s="5" t="s">
        <v>185</v>
      </c>
      <c r="B11" s="5"/>
      <c r="C11" s="5"/>
      <c r="D11" s="7" t="s">
        <v>74</v>
      </c>
      <c r="E11" s="2">
        <v>2</v>
      </c>
      <c r="F11" s="7" t="s">
        <v>45</v>
      </c>
      <c r="G11" s="2">
        <v>1</v>
      </c>
    </row>
    <row r="12" spans="1:12" x14ac:dyDescent="0.35">
      <c r="A12" s="6"/>
      <c r="B12" s="5" t="s">
        <v>43</v>
      </c>
      <c r="C12" s="5"/>
      <c r="D12" s="7" t="s">
        <v>75</v>
      </c>
      <c r="E12" s="2">
        <v>2</v>
      </c>
      <c r="F12" s="7" t="s">
        <v>17</v>
      </c>
      <c r="G12" s="2">
        <v>2</v>
      </c>
    </row>
    <row r="13" spans="1:12" x14ac:dyDescent="0.35">
      <c r="A13" s="14" t="s">
        <v>49</v>
      </c>
      <c r="B13" s="5"/>
      <c r="C13" s="5"/>
      <c r="D13" s="7" t="s">
        <v>10</v>
      </c>
      <c r="E13" s="2">
        <v>1</v>
      </c>
      <c r="F13" s="7" t="s">
        <v>20</v>
      </c>
      <c r="G13" s="2">
        <v>2</v>
      </c>
    </row>
    <row r="14" spans="1:12" x14ac:dyDescent="0.35">
      <c r="A14" s="5" t="s">
        <v>28</v>
      </c>
      <c r="B14" s="5"/>
      <c r="C14" s="5"/>
      <c r="D14" s="8" t="s">
        <v>79</v>
      </c>
      <c r="E14" s="2">
        <v>2</v>
      </c>
      <c r="F14" s="7" t="s">
        <v>76</v>
      </c>
      <c r="G14" s="2">
        <v>2</v>
      </c>
    </row>
    <row r="15" spans="1:12" x14ac:dyDescent="0.35">
      <c r="A15" s="5" t="s">
        <v>29</v>
      </c>
      <c r="B15" s="5"/>
      <c r="C15" s="5"/>
      <c r="D15" s="7" t="s">
        <v>11</v>
      </c>
      <c r="E15" s="2">
        <v>1</v>
      </c>
      <c r="F15" s="7" t="s">
        <v>77</v>
      </c>
      <c r="G15" s="2">
        <v>1</v>
      </c>
    </row>
    <row r="16" spans="1:12" x14ac:dyDescent="0.35">
      <c r="A16" s="6"/>
      <c r="B16" s="5"/>
      <c r="C16" s="5"/>
      <c r="D16" s="9" t="s">
        <v>9</v>
      </c>
      <c r="E16" s="2">
        <v>2</v>
      </c>
      <c r="F16" s="7" t="s">
        <v>78</v>
      </c>
      <c r="G16" s="2">
        <v>2</v>
      </c>
    </row>
    <row r="17" spans="1:7" x14ac:dyDescent="0.35">
      <c r="A17" s="5" t="s">
        <v>30</v>
      </c>
      <c r="B17" s="5"/>
      <c r="C17" s="5"/>
      <c r="D17" s="7" t="s">
        <v>46</v>
      </c>
      <c r="E17" s="2">
        <v>5</v>
      </c>
      <c r="F17" s="7" t="s">
        <v>57</v>
      </c>
      <c r="G17" s="2">
        <v>1</v>
      </c>
    </row>
    <row r="18" spans="1:7" x14ac:dyDescent="0.35">
      <c r="A18" s="6"/>
      <c r="B18" s="5"/>
      <c r="C18" s="5"/>
      <c r="D18" s="7" t="s">
        <v>55</v>
      </c>
      <c r="E18" s="2">
        <v>2</v>
      </c>
      <c r="F18" s="9" t="s">
        <v>154</v>
      </c>
      <c r="G18" s="2">
        <v>1</v>
      </c>
    </row>
    <row r="19" spans="1:7" x14ac:dyDescent="0.35">
      <c r="A19" s="14" t="s">
        <v>50</v>
      </c>
      <c r="B19" s="5"/>
      <c r="C19" s="5"/>
      <c r="D19" s="9" t="s">
        <v>13</v>
      </c>
      <c r="E19" s="2">
        <v>2</v>
      </c>
      <c r="F19" s="7">
        <v>-1</v>
      </c>
      <c r="G19" s="2">
        <v>1</v>
      </c>
    </row>
    <row r="20" spans="1:7" x14ac:dyDescent="0.35">
      <c r="A20" s="5" t="s">
        <v>31</v>
      </c>
      <c r="B20" s="5"/>
      <c r="C20" s="5"/>
      <c r="D20" s="7" t="s">
        <v>15</v>
      </c>
      <c r="E20" s="2">
        <v>1</v>
      </c>
      <c r="F20" s="7" t="s">
        <v>58</v>
      </c>
      <c r="G20" s="2">
        <v>1</v>
      </c>
    </row>
    <row r="21" spans="1:7" x14ac:dyDescent="0.35">
      <c r="A21" s="5" t="s">
        <v>51</v>
      </c>
      <c r="B21" s="5"/>
      <c r="C21" s="5"/>
      <c r="D21" s="7" t="s">
        <v>56</v>
      </c>
      <c r="E21" s="2">
        <v>2</v>
      </c>
      <c r="F21" s="9" t="s">
        <v>155</v>
      </c>
      <c r="G21" s="2">
        <v>1</v>
      </c>
    </row>
    <row r="22" spans="1:7" x14ac:dyDescent="0.35">
      <c r="A22" s="5" t="s">
        <v>32</v>
      </c>
      <c r="B22" s="5"/>
      <c r="C22" s="5"/>
      <c r="D22" s="7" t="s">
        <v>59</v>
      </c>
      <c r="E22" s="2">
        <v>1</v>
      </c>
      <c r="F22" s="7" t="s">
        <v>21</v>
      </c>
      <c r="G22" s="2">
        <v>5</v>
      </c>
    </row>
    <row r="23" spans="1:7" x14ac:dyDescent="0.35">
      <c r="A23" s="5" t="s">
        <v>22</v>
      </c>
      <c r="B23" s="5"/>
      <c r="C23" s="5"/>
      <c r="D23" s="7" t="s">
        <v>60</v>
      </c>
      <c r="E23" s="2">
        <v>2</v>
      </c>
      <c r="F23" s="7">
        <v>4</v>
      </c>
      <c r="G23" s="2">
        <v>1</v>
      </c>
    </row>
    <row r="24" spans="1:7" x14ac:dyDescent="0.35">
      <c r="A24" s="5" t="s">
        <v>52</v>
      </c>
      <c r="B24" s="5"/>
      <c r="C24" s="5"/>
      <c r="D24" s="7" t="s">
        <v>14</v>
      </c>
      <c r="E24" s="2">
        <v>1</v>
      </c>
      <c r="F24" s="7">
        <v>1</v>
      </c>
      <c r="G24" s="2">
        <v>1</v>
      </c>
    </row>
    <row r="25" spans="1:7" x14ac:dyDescent="0.35">
      <c r="A25" s="6"/>
      <c r="B25" s="5"/>
      <c r="C25" s="5"/>
      <c r="D25" s="7" t="s">
        <v>80</v>
      </c>
      <c r="E25" s="2">
        <v>1</v>
      </c>
      <c r="F25" s="9" t="s">
        <v>158</v>
      </c>
      <c r="G25" s="2">
        <v>1</v>
      </c>
    </row>
    <row r="26" spans="1:7" x14ac:dyDescent="0.35">
      <c r="A26" s="22" t="s">
        <v>38</v>
      </c>
      <c r="B26" s="5"/>
      <c r="C26" s="5"/>
      <c r="D26" s="7" t="s">
        <v>61</v>
      </c>
      <c r="E26" s="2">
        <v>1</v>
      </c>
      <c r="F26" s="9" t="s">
        <v>157</v>
      </c>
      <c r="G26" s="2">
        <v>1</v>
      </c>
    </row>
    <row r="27" spans="1:7" x14ac:dyDescent="0.35">
      <c r="A27" s="5" t="s">
        <v>33</v>
      </c>
      <c r="B27" s="5"/>
      <c r="C27" s="5"/>
      <c r="D27" s="7" t="s">
        <v>64</v>
      </c>
      <c r="E27" s="2">
        <v>1</v>
      </c>
      <c r="F27" s="7"/>
      <c r="G27" s="2"/>
    </row>
    <row r="28" spans="1:7" x14ac:dyDescent="0.35">
      <c r="A28" s="5" t="s">
        <v>53</v>
      </c>
      <c r="B28" s="5"/>
      <c r="C28" s="5"/>
      <c r="D28" s="7"/>
      <c r="E28" s="2"/>
      <c r="F28" s="7"/>
      <c r="G28" s="2"/>
    </row>
    <row r="29" spans="1:7" x14ac:dyDescent="0.35">
      <c r="A29" s="5" t="s">
        <v>23</v>
      </c>
      <c r="B29" s="5"/>
      <c r="C29" s="5"/>
      <c r="D29" s="7"/>
      <c r="E29" s="2"/>
      <c r="F29" s="7"/>
      <c r="G29" s="2"/>
    </row>
    <row r="30" spans="1:7" x14ac:dyDescent="0.35">
      <c r="A30" s="5" t="s">
        <v>186</v>
      </c>
      <c r="B30" s="11" t="s">
        <v>156</v>
      </c>
      <c r="C30" s="5"/>
      <c r="D30" s="7"/>
      <c r="E30" s="2"/>
      <c r="F30" s="7"/>
      <c r="G30" s="2"/>
    </row>
    <row r="31" spans="1:7" x14ac:dyDescent="0.35">
      <c r="A31" s="5" t="s">
        <v>187</v>
      </c>
      <c r="B31" s="5"/>
      <c r="C31" s="5"/>
    </row>
    <row r="32" spans="1:7" x14ac:dyDescent="0.35">
      <c r="A32" s="5" t="s">
        <v>34</v>
      </c>
      <c r="B32" s="5"/>
      <c r="C32" s="5"/>
    </row>
    <row r="33" spans="1:3" x14ac:dyDescent="0.35">
      <c r="A33" s="5" t="s">
        <v>63</v>
      </c>
      <c r="B33" s="5"/>
      <c r="C33" s="5"/>
    </row>
    <row r="34" spans="1:3" x14ac:dyDescent="0.35">
      <c r="A34" s="5" t="s">
        <v>35</v>
      </c>
      <c r="B34" s="5"/>
      <c r="C34" s="5"/>
    </row>
    <row r="35" spans="1:3" x14ac:dyDescent="0.35">
      <c r="A35" s="5" t="s">
        <v>62</v>
      </c>
      <c r="B35" s="5"/>
    </row>
    <row r="36" spans="1:3" x14ac:dyDescent="0.35">
      <c r="A36" s="5" t="s">
        <v>36</v>
      </c>
      <c r="B36" s="5"/>
    </row>
    <row r="37" spans="1:3" x14ac:dyDescent="0.35">
      <c r="A37" s="5" t="s">
        <v>54</v>
      </c>
      <c r="B37" s="5"/>
    </row>
  </sheetData>
  <mergeCells count="1">
    <mergeCell ref="A1:L1"/>
  </mergeCells>
  <pageMargins left="0.7" right="0.7" top="0.75" bottom="0.75" header="0.3" footer="0.3"/>
  <pageSetup paperSize="9" orientation="portrait" r:id="rId1"/>
  <tableParts count="6">
    <tablePart r:id="rId2"/>
    <tablePart r:id="rId3"/>
    <tablePart r:id="rId4"/>
    <tablePart r:id="rId5"/>
    <tablePart r:id="rId6"/>
    <tablePart r:id="rId7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A23569-4431-40ED-B417-6325F552A535}">
  <dimension ref="A1:L62"/>
  <sheetViews>
    <sheetView tabSelected="1" zoomScale="115" zoomScaleNormal="115" workbookViewId="0">
      <selection activeCell="D30" sqref="D30"/>
    </sheetView>
  </sheetViews>
  <sheetFormatPr defaultRowHeight="14.5" x14ac:dyDescent="0.35"/>
  <cols>
    <col min="1" max="1" width="59.58203125" style="4" bestFit="1" customWidth="1"/>
    <col min="2" max="2" width="12.58203125" style="4" hidden="1" customWidth="1"/>
    <col min="3" max="3" width="1.83203125" style="4" customWidth="1"/>
    <col min="4" max="4" width="16.9140625" style="1" bestFit="1" customWidth="1"/>
    <col min="5" max="5" width="4.9140625" style="1" customWidth="1"/>
    <col min="6" max="6" width="19.08203125" style="1" customWidth="1"/>
    <col min="7" max="7" width="4.9140625" style="1" customWidth="1"/>
    <col min="8" max="8" width="2.4140625" style="1" customWidth="1"/>
    <col min="9" max="16384" width="8.6640625" style="1"/>
  </cols>
  <sheetData>
    <row r="1" spans="1:12" s="3" customFormat="1" ht="37.5" customHeight="1" x14ac:dyDescent="0.35">
      <c r="A1" s="23" t="s">
        <v>81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</row>
    <row r="2" spans="1:12" s="3" customFormat="1" ht="16.5" x14ac:dyDescent="0.35">
      <c r="A2" s="3" t="s">
        <v>37</v>
      </c>
      <c r="B2" s="3" t="s">
        <v>41</v>
      </c>
      <c r="D2" s="3" t="s">
        <v>65</v>
      </c>
      <c r="E2" s="10" t="s">
        <v>72</v>
      </c>
      <c r="F2" s="3" t="s">
        <v>66</v>
      </c>
      <c r="G2" s="3" t="s">
        <v>73</v>
      </c>
      <c r="I2" s="3" t="s">
        <v>2</v>
      </c>
      <c r="J2" s="3" t="s">
        <v>71</v>
      </c>
      <c r="K2" s="3" t="s">
        <v>67</v>
      </c>
    </row>
    <row r="3" spans="1:12" s="3" customFormat="1" x14ac:dyDescent="0.35">
      <c r="A3" s="14" t="s">
        <v>82</v>
      </c>
      <c r="B3" s="5"/>
      <c r="C3" s="5"/>
      <c r="D3" s="3" cm="1">
        <f t="array" ref="D3">COUNTA(_xlfn.UNIQUE(_xlfn._xlws.FILTER(D6:D300, D6:D300&lt;&gt;"")))</f>
        <v>30</v>
      </c>
      <c r="E3" s="3">
        <f>SUM(E6:E300)</f>
        <v>132</v>
      </c>
      <c r="F3" s="3" cm="1">
        <f t="array" ref="F3">COUNTA(_xlfn.UNIQUE(_xlfn._xlws.FILTER(F6:F300, F6:F300&lt;&gt;"")))</f>
        <v>24</v>
      </c>
      <c r="G3" s="3">
        <f>SUM(G6:G300)</f>
        <v>83</v>
      </c>
      <c r="I3" s="3">
        <f>D3+F3</f>
        <v>54</v>
      </c>
      <c r="J3" s="3">
        <f>E3+G3</f>
        <v>215</v>
      </c>
      <c r="K3" s="3">
        <f>D3*LOG(D3,2)+F3*LOG(F3,2)</f>
        <v>257.24581788556333</v>
      </c>
    </row>
    <row r="4" spans="1:12" s="3" customFormat="1" x14ac:dyDescent="0.35">
      <c r="A4" s="14" t="s">
        <v>83</v>
      </c>
      <c r="B4" s="5"/>
      <c r="C4" s="5"/>
    </row>
    <row r="5" spans="1:12" ht="16.5" x14ac:dyDescent="0.35">
      <c r="A5" s="13"/>
      <c r="B5" s="5"/>
      <c r="C5" s="5"/>
      <c r="D5" s="3" t="s">
        <v>69</v>
      </c>
      <c r="E5" s="3" t="s">
        <v>70</v>
      </c>
      <c r="F5" s="3" t="s">
        <v>161</v>
      </c>
      <c r="G5" s="3" t="s">
        <v>0</v>
      </c>
      <c r="I5" s="3" t="s">
        <v>3</v>
      </c>
      <c r="J5" s="3" t="s">
        <v>68</v>
      </c>
      <c r="K5" s="3" t="s">
        <v>4</v>
      </c>
    </row>
    <row r="6" spans="1:12" x14ac:dyDescent="0.35">
      <c r="A6" s="12" t="s">
        <v>84</v>
      </c>
      <c r="B6" s="5"/>
      <c r="C6" s="5"/>
      <c r="D6" s="7" t="s">
        <v>111</v>
      </c>
      <c r="E6" s="15">
        <v>1</v>
      </c>
      <c r="F6" s="7" t="s">
        <v>19</v>
      </c>
      <c r="G6" s="16">
        <v>10</v>
      </c>
      <c r="I6" s="3">
        <f>J3*LOG(I3,2)</f>
        <v>1237.300812965146</v>
      </c>
      <c r="J6" s="3">
        <f>2*F3/(D3*G3)</f>
        <v>1.9277108433734941E-2</v>
      </c>
      <c r="K6" s="3">
        <f>1/J6</f>
        <v>51.874999999999993</v>
      </c>
    </row>
    <row r="7" spans="1:12" x14ac:dyDescent="0.35">
      <c r="A7" s="12" t="s">
        <v>85</v>
      </c>
      <c r="B7" s="5"/>
      <c r="C7" s="5"/>
      <c r="D7" s="7" t="s">
        <v>160</v>
      </c>
      <c r="E7" s="15">
        <v>1</v>
      </c>
      <c r="F7" s="7" t="s">
        <v>16</v>
      </c>
      <c r="G7" s="15">
        <v>4</v>
      </c>
    </row>
    <row r="8" spans="1:12" ht="16.5" x14ac:dyDescent="0.35">
      <c r="A8" s="13"/>
      <c r="B8" s="5"/>
      <c r="C8" s="5"/>
      <c r="D8" s="7" t="s">
        <v>112</v>
      </c>
      <c r="E8" s="15">
        <v>7</v>
      </c>
      <c r="F8" s="7">
        <v>0</v>
      </c>
      <c r="G8" s="16">
        <v>6</v>
      </c>
      <c r="I8" s="3" t="s">
        <v>5</v>
      </c>
      <c r="J8" s="3" t="s">
        <v>6</v>
      </c>
      <c r="K8" s="3" t="s">
        <v>7</v>
      </c>
      <c r="L8" s="3" t="s">
        <v>177</v>
      </c>
    </row>
    <row r="9" spans="1:12" x14ac:dyDescent="0.35">
      <c r="A9" s="12" t="s">
        <v>86</v>
      </c>
      <c r="B9" s="5"/>
      <c r="C9" s="5"/>
      <c r="D9" s="9" t="s">
        <v>12</v>
      </c>
      <c r="E9" s="16">
        <v>13</v>
      </c>
      <c r="F9" s="7">
        <v>1111</v>
      </c>
      <c r="G9" s="15">
        <v>1</v>
      </c>
      <c r="I9" s="3">
        <f>K6*I6</f>
        <v>64184.979672566937</v>
      </c>
      <c r="J9" s="3">
        <f>I9/18</f>
        <v>3565.8322040314965</v>
      </c>
      <c r="K9" s="3">
        <f>POWER(I9,2/3)/L9</f>
        <v>0.51712306816570885</v>
      </c>
      <c r="L9" s="3">
        <f>Table310[[#This Row],[E0]]</f>
        <v>3100</v>
      </c>
    </row>
    <row r="10" spans="1:12" x14ac:dyDescent="0.35">
      <c r="A10" s="12" t="s">
        <v>87</v>
      </c>
      <c r="B10" s="5"/>
      <c r="C10" s="5"/>
      <c r="D10" s="7" t="s">
        <v>113</v>
      </c>
      <c r="E10" s="16">
        <v>19</v>
      </c>
      <c r="F10" s="9" t="s">
        <v>142</v>
      </c>
      <c r="G10" s="15">
        <v>1</v>
      </c>
    </row>
    <row r="11" spans="1:12" x14ac:dyDescent="0.35">
      <c r="A11" s="12" t="s">
        <v>88</v>
      </c>
      <c r="B11" s="5"/>
      <c r="C11" s="5"/>
      <c r="D11" s="7" t="s">
        <v>115</v>
      </c>
      <c r="E11" s="15">
        <v>2</v>
      </c>
      <c r="F11" s="7">
        <v>6174</v>
      </c>
      <c r="G11" s="15">
        <v>1</v>
      </c>
    </row>
    <row r="12" spans="1:12" x14ac:dyDescent="0.35">
      <c r="A12" s="12" t="s">
        <v>89</v>
      </c>
      <c r="B12" s="5" t="s">
        <v>43</v>
      </c>
      <c r="C12" s="5"/>
      <c r="D12" s="7" t="s">
        <v>116</v>
      </c>
      <c r="E12" s="15">
        <v>5</v>
      </c>
      <c r="F12" s="7" t="s">
        <v>119</v>
      </c>
      <c r="G12" s="15">
        <v>7</v>
      </c>
    </row>
    <row r="13" spans="1:12" x14ac:dyDescent="0.35">
      <c r="A13" s="13"/>
      <c r="B13" s="5"/>
      <c r="C13" s="5"/>
      <c r="D13" s="7" t="s">
        <v>114</v>
      </c>
      <c r="E13" s="15">
        <v>4</v>
      </c>
      <c r="F13" s="7" t="s">
        <v>124</v>
      </c>
      <c r="G13" s="15">
        <v>7</v>
      </c>
    </row>
    <row r="14" spans="1:12" x14ac:dyDescent="0.35">
      <c r="A14" s="12" t="s">
        <v>90</v>
      </c>
      <c r="B14" s="5"/>
      <c r="C14" s="5"/>
      <c r="D14" s="9" t="s">
        <v>13</v>
      </c>
      <c r="E14" s="15">
        <v>1</v>
      </c>
      <c r="F14" s="7">
        <v>1</v>
      </c>
      <c r="G14" s="15">
        <v>4</v>
      </c>
    </row>
    <row r="15" spans="1:12" x14ac:dyDescent="0.35">
      <c r="A15" s="12" t="s">
        <v>91</v>
      </c>
      <c r="B15" s="11" t="s">
        <v>159</v>
      </c>
      <c r="C15" s="5"/>
      <c r="D15" s="7" t="s">
        <v>117</v>
      </c>
      <c r="E15" s="15">
        <v>3</v>
      </c>
      <c r="F15" s="7">
        <v>2</v>
      </c>
      <c r="G15" s="15">
        <v>3</v>
      </c>
    </row>
    <row r="16" spans="1:12" x14ac:dyDescent="0.35">
      <c r="A16" s="12" t="s">
        <v>92</v>
      </c>
      <c r="B16" s="5"/>
      <c r="C16" s="5"/>
      <c r="D16" s="9" t="s">
        <v>10</v>
      </c>
      <c r="E16" s="16">
        <v>6</v>
      </c>
      <c r="F16" s="7">
        <v>3</v>
      </c>
      <c r="G16" s="2">
        <v>4</v>
      </c>
    </row>
    <row r="17" spans="1:7" x14ac:dyDescent="0.35">
      <c r="A17" s="13"/>
      <c r="B17" s="5"/>
      <c r="C17" s="5"/>
      <c r="D17" s="7" t="s">
        <v>15</v>
      </c>
      <c r="E17" s="15">
        <v>1</v>
      </c>
      <c r="F17" s="7">
        <v>4</v>
      </c>
      <c r="G17" s="15">
        <v>2</v>
      </c>
    </row>
    <row r="18" spans="1:7" x14ac:dyDescent="0.35">
      <c r="A18" s="14" t="s">
        <v>93</v>
      </c>
      <c r="B18" s="5"/>
      <c r="C18" s="5"/>
      <c r="D18" s="7" t="s">
        <v>118</v>
      </c>
      <c r="E18" s="15">
        <v>1</v>
      </c>
      <c r="F18" s="7">
        <v>1000</v>
      </c>
      <c r="G18" s="15">
        <v>3</v>
      </c>
    </row>
    <row r="19" spans="1:7" x14ac:dyDescent="0.35">
      <c r="A19" s="12" t="s">
        <v>94</v>
      </c>
      <c r="B19" s="5"/>
      <c r="C19" s="5"/>
      <c r="D19" s="9" t="s">
        <v>8</v>
      </c>
      <c r="E19" s="15">
        <v>1</v>
      </c>
      <c r="F19" s="7">
        <v>100</v>
      </c>
      <c r="G19" s="15">
        <v>3</v>
      </c>
    </row>
    <row r="20" spans="1:7" x14ac:dyDescent="0.35">
      <c r="A20" s="12" t="s">
        <v>95</v>
      </c>
      <c r="B20" s="5"/>
      <c r="C20" s="5"/>
      <c r="D20" s="9" t="s">
        <v>120</v>
      </c>
      <c r="E20" s="15">
        <v>3</v>
      </c>
      <c r="F20" s="7">
        <v>10</v>
      </c>
      <c r="G20" s="15">
        <v>6</v>
      </c>
    </row>
    <row r="21" spans="1:7" x14ac:dyDescent="0.35">
      <c r="A21" s="12" t="s">
        <v>96</v>
      </c>
      <c r="B21" s="5"/>
      <c r="C21" s="5"/>
      <c r="D21" s="7" t="s">
        <v>44</v>
      </c>
      <c r="E21" s="15">
        <v>2</v>
      </c>
      <c r="F21" s="7" t="s">
        <v>127</v>
      </c>
      <c r="G21" s="15">
        <v>2</v>
      </c>
    </row>
    <row r="22" spans="1:7" x14ac:dyDescent="0.35">
      <c r="A22" s="12" t="s">
        <v>97</v>
      </c>
      <c r="B22" s="5"/>
      <c r="C22" s="5"/>
      <c r="D22" s="7" t="s">
        <v>121</v>
      </c>
      <c r="E22" s="15">
        <v>2</v>
      </c>
      <c r="F22" s="7" t="s">
        <v>20</v>
      </c>
      <c r="G22" s="15">
        <v>3</v>
      </c>
    </row>
    <row r="23" spans="1:7" x14ac:dyDescent="0.35">
      <c r="A23" s="13"/>
      <c r="B23" s="5"/>
      <c r="C23" s="5"/>
      <c r="D23" s="7" t="s">
        <v>122</v>
      </c>
      <c r="E23" s="15">
        <v>2</v>
      </c>
      <c r="F23" s="7" t="s">
        <v>17</v>
      </c>
      <c r="G23" s="15">
        <v>3</v>
      </c>
    </row>
    <row r="24" spans="1:7" x14ac:dyDescent="0.35">
      <c r="A24" s="14" t="s">
        <v>98</v>
      </c>
      <c r="B24" s="5"/>
      <c r="C24" s="5"/>
      <c r="D24" s="9" t="s">
        <v>123</v>
      </c>
      <c r="E24" s="15">
        <v>3</v>
      </c>
      <c r="F24" s="9" t="s">
        <v>140</v>
      </c>
      <c r="G24" s="15">
        <v>1</v>
      </c>
    </row>
    <row r="25" spans="1:7" x14ac:dyDescent="0.35">
      <c r="A25" s="12" t="s">
        <v>99</v>
      </c>
      <c r="B25" s="5"/>
      <c r="C25" s="5"/>
      <c r="D25" s="9" t="s">
        <v>125</v>
      </c>
      <c r="E25" s="15">
        <v>7</v>
      </c>
      <c r="F25" s="9" t="s">
        <v>141</v>
      </c>
      <c r="G25" s="15">
        <v>1</v>
      </c>
    </row>
    <row r="26" spans="1:7" x14ac:dyDescent="0.35">
      <c r="A26" s="12" t="s">
        <v>100</v>
      </c>
      <c r="B26" s="5"/>
      <c r="C26" s="5"/>
      <c r="D26" s="7" t="s">
        <v>126</v>
      </c>
      <c r="E26" s="15">
        <v>1</v>
      </c>
      <c r="F26" s="7"/>
      <c r="G26" s="2"/>
    </row>
    <row r="27" spans="1:7" x14ac:dyDescent="0.35">
      <c r="A27" s="12" t="s">
        <v>101</v>
      </c>
      <c r="B27" s="5"/>
      <c r="C27" s="5"/>
      <c r="D27" s="7" t="s">
        <v>139</v>
      </c>
      <c r="E27" s="15">
        <v>6</v>
      </c>
      <c r="F27" s="7"/>
      <c r="G27" s="2"/>
    </row>
    <row r="28" spans="1:7" x14ac:dyDescent="0.35">
      <c r="A28" s="12" t="s">
        <v>102</v>
      </c>
      <c r="B28" s="5"/>
      <c r="C28" s="5"/>
      <c r="D28" s="7" t="s">
        <v>11</v>
      </c>
      <c r="E28" s="15">
        <v>1</v>
      </c>
      <c r="F28" s="7"/>
      <c r="G28" s="2"/>
    </row>
    <row r="29" spans="1:7" x14ac:dyDescent="0.35">
      <c r="A29" s="12" t="s">
        <v>103</v>
      </c>
      <c r="B29" s="5"/>
      <c r="C29" s="5"/>
      <c r="D29" s="7" t="s">
        <v>188</v>
      </c>
      <c r="E29" s="15">
        <v>19</v>
      </c>
      <c r="F29" s="7"/>
      <c r="G29" s="2"/>
    </row>
    <row r="30" spans="1:7" x14ac:dyDescent="0.35">
      <c r="A30" s="12" t="s">
        <v>104</v>
      </c>
      <c r="B30" s="5"/>
      <c r="C30" s="5"/>
      <c r="D30" s="7"/>
      <c r="E30" s="2"/>
      <c r="F30" s="7"/>
      <c r="G30" s="2"/>
    </row>
    <row r="31" spans="1:7" x14ac:dyDescent="0.35">
      <c r="A31" s="12" t="s">
        <v>105</v>
      </c>
      <c r="B31" s="5"/>
      <c r="C31" s="5"/>
      <c r="D31" s="17"/>
      <c r="E31" s="18"/>
      <c r="F31" s="17"/>
      <c r="G31" s="18"/>
    </row>
    <row r="32" spans="1:7" x14ac:dyDescent="0.35">
      <c r="A32" s="12" t="s">
        <v>106</v>
      </c>
      <c r="B32" s="5"/>
      <c r="C32" s="5"/>
      <c r="D32" s="7" t="s">
        <v>112</v>
      </c>
      <c r="E32" s="15">
        <v>2</v>
      </c>
      <c r="F32" s="7" t="s">
        <v>19</v>
      </c>
      <c r="G32" s="15">
        <v>5</v>
      </c>
    </row>
    <row r="33" spans="1:7" x14ac:dyDescent="0.35">
      <c r="A33" s="12" t="s">
        <v>107</v>
      </c>
      <c r="B33" s="5"/>
      <c r="C33" s="5"/>
      <c r="D33" s="7" t="s">
        <v>143</v>
      </c>
      <c r="E33" s="15">
        <v>1</v>
      </c>
      <c r="F33" s="9" t="s">
        <v>144</v>
      </c>
      <c r="G33" s="15">
        <v>1</v>
      </c>
    </row>
    <row r="34" spans="1:7" x14ac:dyDescent="0.35">
      <c r="A34" s="12" t="s">
        <v>108</v>
      </c>
      <c r="B34" s="5"/>
      <c r="C34" s="5"/>
      <c r="D34" s="7" t="s">
        <v>113</v>
      </c>
      <c r="E34" s="15">
        <v>6</v>
      </c>
      <c r="F34" s="7" t="s">
        <v>147</v>
      </c>
      <c r="G34" s="15">
        <v>1</v>
      </c>
    </row>
    <row r="35" spans="1:7" x14ac:dyDescent="0.35">
      <c r="A35" s="14" t="s">
        <v>109</v>
      </c>
      <c r="B35" s="5"/>
      <c r="D35" s="7" t="s">
        <v>117</v>
      </c>
      <c r="E35" s="15">
        <v>2</v>
      </c>
      <c r="F35" s="7">
        <v>1000</v>
      </c>
      <c r="G35" s="15">
        <v>1</v>
      </c>
    </row>
    <row r="36" spans="1:7" x14ac:dyDescent="0.35">
      <c r="A36" s="12" t="s">
        <v>110</v>
      </c>
      <c r="B36" s="5"/>
      <c r="D36" s="7" t="s">
        <v>145</v>
      </c>
      <c r="E36" s="15">
        <v>1</v>
      </c>
      <c r="F36" s="7">
        <v>9999</v>
      </c>
      <c r="G36" s="15">
        <v>1</v>
      </c>
    </row>
    <row r="37" spans="1:7" x14ac:dyDescent="0.35">
      <c r="A37" s="14" t="s">
        <v>129</v>
      </c>
      <c r="B37" s="5"/>
      <c r="D37" s="7" t="s">
        <v>146</v>
      </c>
      <c r="E37" s="15">
        <v>1</v>
      </c>
      <c r="F37" s="9" t="s">
        <v>150</v>
      </c>
      <c r="G37" s="15">
        <v>1</v>
      </c>
    </row>
    <row r="38" spans="1:7" x14ac:dyDescent="0.35">
      <c r="A38" s="12" t="s">
        <v>130</v>
      </c>
      <c r="B38" s="5"/>
      <c r="D38" s="7" t="s">
        <v>148</v>
      </c>
      <c r="E38" s="15">
        <v>1</v>
      </c>
      <c r="F38" s="7">
        <v>0</v>
      </c>
      <c r="G38" s="15">
        <v>1</v>
      </c>
    </row>
    <row r="39" spans="1:7" x14ac:dyDescent="0.35">
      <c r="A39" s="13"/>
      <c r="B39" s="5"/>
      <c r="D39" s="7" t="s">
        <v>116</v>
      </c>
      <c r="E39" s="15">
        <v>2</v>
      </c>
      <c r="F39" s="7"/>
      <c r="G39" s="15"/>
    </row>
    <row r="40" spans="1:7" x14ac:dyDescent="0.35">
      <c r="A40" s="12" t="s">
        <v>131</v>
      </c>
      <c r="B40" s="5"/>
      <c r="D40" s="7" t="s">
        <v>122</v>
      </c>
      <c r="E40" s="15">
        <v>1</v>
      </c>
      <c r="F40" s="7"/>
      <c r="G40" s="2"/>
    </row>
    <row r="41" spans="1:7" x14ac:dyDescent="0.35">
      <c r="A41" s="12" t="s">
        <v>132</v>
      </c>
      <c r="B41" s="5"/>
      <c r="D41" s="7" t="s">
        <v>126</v>
      </c>
      <c r="E41" s="15">
        <v>1</v>
      </c>
      <c r="F41" s="7"/>
      <c r="G41" s="2"/>
    </row>
    <row r="42" spans="1:7" x14ac:dyDescent="0.35">
      <c r="A42" s="13"/>
      <c r="B42" s="5"/>
      <c r="D42" s="7" t="s">
        <v>149</v>
      </c>
      <c r="E42" s="15">
        <v>1</v>
      </c>
      <c r="F42" s="7"/>
      <c r="G42" s="2"/>
    </row>
    <row r="43" spans="1:7" x14ac:dyDescent="0.35">
      <c r="A43" s="12" t="s">
        <v>133</v>
      </c>
      <c r="B43" s="5"/>
      <c r="D43" s="7" t="s">
        <v>151</v>
      </c>
      <c r="E43" s="15">
        <v>1</v>
      </c>
      <c r="F43" s="7"/>
      <c r="G43" s="2"/>
    </row>
    <row r="44" spans="1:7" x14ac:dyDescent="0.35">
      <c r="A44" s="12" t="s">
        <v>89</v>
      </c>
      <c r="B44" s="5"/>
      <c r="D44" s="7" t="s">
        <v>15</v>
      </c>
      <c r="E44" s="15">
        <v>1</v>
      </c>
      <c r="F44" s="7"/>
      <c r="G44" s="2"/>
    </row>
    <row r="45" spans="1:7" x14ac:dyDescent="0.35">
      <c r="A45" s="13"/>
      <c r="B45" s="5"/>
      <c r="D45" s="7"/>
      <c r="E45" s="2"/>
      <c r="F45" s="7"/>
      <c r="G45" s="2"/>
    </row>
    <row r="46" spans="1:7" x14ac:dyDescent="0.35">
      <c r="A46" s="12" t="s">
        <v>134</v>
      </c>
      <c r="B46" s="5"/>
    </row>
    <row r="47" spans="1:7" x14ac:dyDescent="0.35">
      <c r="A47" s="12" t="s">
        <v>128</v>
      </c>
      <c r="B47" s="5"/>
    </row>
    <row r="48" spans="1:7" x14ac:dyDescent="0.35">
      <c r="A48" s="13"/>
      <c r="B48" s="5"/>
    </row>
    <row r="49" spans="1:2" x14ac:dyDescent="0.35">
      <c r="A49" s="12" t="s">
        <v>135</v>
      </c>
      <c r="B49" s="5"/>
    </row>
    <row r="50" spans="1:2" x14ac:dyDescent="0.35">
      <c r="A50" s="12" t="s">
        <v>136</v>
      </c>
      <c r="B50" s="5"/>
    </row>
    <row r="51" spans="1:2" x14ac:dyDescent="0.35">
      <c r="A51" s="13"/>
      <c r="B51" s="5"/>
    </row>
    <row r="52" spans="1:2" x14ac:dyDescent="0.35">
      <c r="A52" s="12" t="s">
        <v>137</v>
      </c>
      <c r="B52" s="5"/>
    </row>
    <row r="53" spans="1:2" x14ac:dyDescent="0.35">
      <c r="A53" s="12" t="s">
        <v>138</v>
      </c>
      <c r="B53" s="5"/>
    </row>
    <row r="54" spans="1:2" x14ac:dyDescent="0.35">
      <c r="A54" s="12"/>
      <c r="B54" s="5"/>
    </row>
    <row r="55" spans="1:2" x14ac:dyDescent="0.35">
      <c r="A55" s="12" t="s">
        <v>179</v>
      </c>
      <c r="B55" s="5"/>
    </row>
    <row r="56" spans="1:2" x14ac:dyDescent="0.35">
      <c r="A56" s="12" t="s">
        <v>180</v>
      </c>
      <c r="B56" s="5"/>
    </row>
    <row r="57" spans="1:2" x14ac:dyDescent="0.35">
      <c r="A57" s="12" t="s">
        <v>181</v>
      </c>
      <c r="B57" s="5"/>
    </row>
    <row r="58" spans="1:2" x14ac:dyDescent="0.35">
      <c r="A58" s="12" t="s">
        <v>182</v>
      </c>
      <c r="B58" s="5"/>
    </row>
    <row r="59" spans="1:2" x14ac:dyDescent="0.35">
      <c r="A59" s="12" t="s">
        <v>89</v>
      </c>
      <c r="B59" s="5"/>
    </row>
    <row r="60" spans="1:2" x14ac:dyDescent="0.35">
      <c r="A60" s="12"/>
      <c r="B60" s="5"/>
    </row>
    <row r="61" spans="1:2" x14ac:dyDescent="0.35">
      <c r="A61" s="12" t="s">
        <v>183</v>
      </c>
      <c r="B61" s="5"/>
    </row>
    <row r="62" spans="1:2" x14ac:dyDescent="0.35">
      <c r="A62" s="12" t="s">
        <v>128</v>
      </c>
      <c r="B62" s="5"/>
    </row>
  </sheetData>
  <mergeCells count="1">
    <mergeCell ref="A1:L1"/>
  </mergeCells>
  <pageMargins left="0.7" right="0.7" top="0.75" bottom="0.75" header="0.3" footer="0.3"/>
  <pageSetup paperSize="9" orientation="portrait" r:id="rId1"/>
  <tableParts count="6">
    <tablePart r:id="rId2"/>
    <tablePart r:id="rId3"/>
    <tablePart r:id="rId4"/>
    <tablePart r:id="rId5"/>
    <tablePart r:id="rId6"/>
    <tablePart r:id="rId7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91EFB4-EF25-4935-9BF0-0594A366443B}">
  <dimension ref="A1:E14"/>
  <sheetViews>
    <sheetView workbookViewId="0">
      <selection activeCell="D30" sqref="D30"/>
    </sheetView>
  </sheetViews>
  <sheetFormatPr defaultRowHeight="14.5" x14ac:dyDescent="0.35"/>
  <cols>
    <col min="1" max="1" width="8.9140625" style="21" customWidth="1"/>
    <col min="2" max="2" width="10.83203125" style="21" customWidth="1"/>
    <col min="3" max="3" width="11.5" style="21" customWidth="1"/>
    <col min="4" max="4" width="11.9140625" style="21" customWidth="1"/>
    <col min="5" max="5" width="30.25" bestFit="1" customWidth="1"/>
  </cols>
  <sheetData>
    <row r="1" spans="1:5" x14ac:dyDescent="0.35">
      <c r="A1" s="21" t="s">
        <v>162</v>
      </c>
      <c r="B1" s="21" t="s">
        <v>1</v>
      </c>
      <c r="C1" s="21" t="s">
        <v>81</v>
      </c>
      <c r="D1" s="21" t="s">
        <v>178</v>
      </c>
      <c r="E1" s="21" t="s">
        <v>163</v>
      </c>
    </row>
    <row r="2" spans="1:5" ht="16.5" x14ac:dyDescent="0.45">
      <c r="A2" s="21" t="s">
        <v>65</v>
      </c>
      <c r="B2" s="21" cm="1">
        <f t="array" ref="B2">Table411[n1]</f>
        <v>22</v>
      </c>
      <c r="C2" s="21" cm="1">
        <f t="array" ref="C2">Table4[n1]</f>
        <v>30</v>
      </c>
      <c r="D2" s="21" t="str">
        <f>IF(B2&gt;C2,$B$1,$C$1)</f>
        <v>ANSI C</v>
      </c>
      <c r="E2" t="s">
        <v>164</v>
      </c>
    </row>
    <row r="3" spans="1:5" ht="16.5" x14ac:dyDescent="0.45">
      <c r="A3" s="21" t="s">
        <v>72</v>
      </c>
      <c r="B3" s="21">
        <f>Table411[[#This Row],[N1 ]]</f>
        <v>40</v>
      </c>
      <c r="C3" s="21">
        <f>Table4[[#This Row],[N1 ]]</f>
        <v>132</v>
      </c>
      <c r="D3" s="21" t="str">
        <f t="shared" ref="D3:D14" si="0">IF(B3&gt;C3,$B$1,$C$1)</f>
        <v>ANSI C</v>
      </c>
      <c r="E3" t="s">
        <v>165</v>
      </c>
    </row>
    <row r="4" spans="1:5" ht="16.5" x14ac:dyDescent="0.45">
      <c r="A4" s="21" t="s">
        <v>66</v>
      </c>
      <c r="B4" s="21" cm="1">
        <f t="array" ref="B4">Table411[n2]</f>
        <v>21</v>
      </c>
      <c r="C4" s="21" cm="1">
        <f t="array" ref="C4">Table4[n2]</f>
        <v>24</v>
      </c>
      <c r="D4" s="21" t="str">
        <f t="shared" si="0"/>
        <v>ANSI C</v>
      </c>
      <c r="E4" t="s">
        <v>166</v>
      </c>
    </row>
    <row r="5" spans="1:5" ht="16.5" x14ac:dyDescent="0.45">
      <c r="A5" s="21" t="s">
        <v>73</v>
      </c>
      <c r="B5" s="21" cm="1">
        <f t="array" ref="B5">Table411[[N2 ]]</f>
        <v>35</v>
      </c>
      <c r="C5" s="21" cm="1">
        <f t="array" ref="C5">Table4[[N2 ]]</f>
        <v>83</v>
      </c>
      <c r="D5" s="21" t="str">
        <f t="shared" si="0"/>
        <v>ANSI C</v>
      </c>
      <c r="E5" t="s">
        <v>167</v>
      </c>
    </row>
    <row r="6" spans="1:5" x14ac:dyDescent="0.35">
      <c r="A6" s="21" t="s">
        <v>2</v>
      </c>
      <c r="B6" s="21" cm="1">
        <f t="array" ref="B6">Table18[n]</f>
        <v>43</v>
      </c>
      <c r="C6" s="21" cm="1">
        <f t="array" ref="C6">Table1[n]</f>
        <v>54</v>
      </c>
      <c r="D6" s="21" t="str">
        <f t="shared" si="0"/>
        <v>ANSI C</v>
      </c>
      <c r="E6" t="s">
        <v>169</v>
      </c>
    </row>
    <row r="7" spans="1:5" x14ac:dyDescent="0.35">
      <c r="A7" s="21" t="s">
        <v>71</v>
      </c>
      <c r="B7" s="21" cm="1">
        <f t="array" ref="B7">Table18[[N ]]</f>
        <v>75</v>
      </c>
      <c r="C7" s="21" cm="1">
        <f t="array" ref="C7">Table1[[N ]]</f>
        <v>215</v>
      </c>
      <c r="D7" s="21" t="str">
        <f t="shared" si="0"/>
        <v>ANSI C</v>
      </c>
      <c r="E7" t="s">
        <v>168</v>
      </c>
    </row>
    <row r="8" spans="1:5" ht="16.5" x14ac:dyDescent="0.45">
      <c r="A8" s="21" t="s">
        <v>67</v>
      </c>
      <c r="B8" s="21" cm="1">
        <f t="array" ref="B8">Table18[Nest]</f>
        <v>190.34616148837449</v>
      </c>
      <c r="C8" s="21" cm="1">
        <f t="array" ref="C8">Table1[Nest]</f>
        <v>257.24581788556333</v>
      </c>
      <c r="D8" s="21" t="str">
        <f t="shared" si="0"/>
        <v>ANSI C</v>
      </c>
      <c r="E8" t="s">
        <v>175</v>
      </c>
    </row>
    <row r="9" spans="1:5" x14ac:dyDescent="0.35">
      <c r="A9" s="21" t="s">
        <v>3</v>
      </c>
      <c r="B9" s="21" cm="1">
        <f t="array" ref="B9">Table29[V]</f>
        <v>406.96985660265733</v>
      </c>
      <c r="C9" s="21" cm="1">
        <f t="array" ref="C9">Table2[V]</f>
        <v>1237.300812965146</v>
      </c>
      <c r="D9" s="21" t="str">
        <f t="shared" si="0"/>
        <v>ANSI C</v>
      </c>
      <c r="E9" t="s">
        <v>170</v>
      </c>
    </row>
    <row r="10" spans="1:5" ht="16.5" x14ac:dyDescent="0.45">
      <c r="A10" s="21" t="s">
        <v>68</v>
      </c>
      <c r="B10" s="21" cm="1">
        <f t="array" ref="B10">Table29[Lest]</f>
        <v>5.4545454545454543E-2</v>
      </c>
      <c r="C10" s="21" cm="1">
        <f t="array" ref="C10">Table2[Lest]</f>
        <v>1.9277108433734941E-2</v>
      </c>
      <c r="D10" s="21" t="str">
        <f t="shared" si="0"/>
        <v>Python</v>
      </c>
      <c r="E10" t="s">
        <v>171</v>
      </c>
    </row>
    <row r="11" spans="1:5" x14ac:dyDescent="0.35">
      <c r="A11" s="21" t="s">
        <v>4</v>
      </c>
      <c r="B11" s="21" cm="1">
        <f t="array" ref="B11">Table29[D]</f>
        <v>18.333333333333336</v>
      </c>
      <c r="C11" s="21" cm="1">
        <f t="array" ref="C11">Table2[D]</f>
        <v>51.874999999999993</v>
      </c>
      <c r="D11" s="21" t="str">
        <f t="shared" si="0"/>
        <v>ANSI C</v>
      </c>
      <c r="E11" t="s">
        <v>172</v>
      </c>
    </row>
    <row r="12" spans="1:5" x14ac:dyDescent="0.35">
      <c r="A12" s="21" t="s">
        <v>5</v>
      </c>
      <c r="B12" s="21" cm="1">
        <f t="array" ref="B12">Table310[E]</f>
        <v>7461.1140377153852</v>
      </c>
      <c r="C12" s="21" cm="1">
        <f t="array" ref="C12">Table3[E]</f>
        <v>64184.979672566937</v>
      </c>
      <c r="D12" s="21" t="str">
        <f t="shared" si="0"/>
        <v>ANSI C</v>
      </c>
      <c r="E12" t="s">
        <v>173</v>
      </c>
    </row>
    <row r="13" spans="1:5" x14ac:dyDescent="0.35">
      <c r="A13" s="21" t="s">
        <v>6</v>
      </c>
      <c r="B13" s="21" cm="1">
        <f t="array" ref="B13">Table310[T]</f>
        <v>414.5063354286325</v>
      </c>
      <c r="C13" s="21" cm="1">
        <f t="array" ref="C13">Table3[T]</f>
        <v>3565.8322040314965</v>
      </c>
      <c r="D13" s="21" t="str">
        <f t="shared" si="0"/>
        <v>ANSI C</v>
      </c>
      <c r="E13" t="s">
        <v>174</v>
      </c>
    </row>
    <row r="14" spans="1:5" x14ac:dyDescent="0.35">
      <c r="A14" s="21" t="s">
        <v>7</v>
      </c>
      <c r="B14" s="21" cm="1">
        <f t="array" ref="B14">Table310[B]</f>
        <v>0.12317070430417841</v>
      </c>
      <c r="C14" s="21" cm="1">
        <f t="array" ref="C14">Table3[B]</f>
        <v>0.51712306816570885</v>
      </c>
      <c r="D14" s="21" t="str">
        <f t="shared" si="0"/>
        <v>ANSI C</v>
      </c>
      <c r="E14" t="str">
        <f>"Program Bugs where E0 = " &amp; IFERROR(Python!L9, "")</f>
        <v>Program Bugs where E0 = 3100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TemplafyFormConfiguration><![CDATA[{"formFields":[],"formDataEntries":[]}]]></TemplafyFormConfiguration>
</file>

<file path=customXml/item2.xml><?xml version="1.0" encoding="utf-8"?>
<TemplafyTemplateConfiguration><![CDATA[{"transformationConfigurations":[],"templateName":"Normal-2025","templateDescription":"","enableDocumentContentUpdater":false,"version":"2.0"}]]></TemplafyTemplateConfiguration>
</file>

<file path=customXml/itemProps1.xml><?xml version="1.0" encoding="utf-8"?>
<ds:datastoreItem xmlns:ds="http://schemas.openxmlformats.org/officeDocument/2006/customXml" ds:itemID="{32C38829-C3AE-4202-9CB1-0356487E15CF}">
  <ds:schemaRefs/>
</ds:datastoreItem>
</file>

<file path=customXml/itemProps2.xml><?xml version="1.0" encoding="utf-8"?>
<ds:datastoreItem xmlns:ds="http://schemas.openxmlformats.org/officeDocument/2006/customXml" ds:itemID="{FFB72106-566B-477B-A545-C67C959C7B45}">
  <ds:schemaRefs/>
</ds:datastoreItem>
</file>

<file path=docMetadata/LabelInfo.xml><?xml version="1.0" encoding="utf-8"?>
<clbl:labelList xmlns:clbl="http://schemas.microsoft.com/office/2020/mipLabelMetadata">
  <clbl:label id="{589256c7-9946-44df-b379-51beb93fd2d9}" enabled="1" method="Privileged" siteId="{36da45f1-dd2c-4d1f-af13-5abe46b99921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Python</vt:lpstr>
      <vt:lpstr>ANSI C</vt:lpstr>
      <vt:lpstr>Comparisson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Vagianou, Emmanouela</dc:creator>
  <cp:lastModifiedBy>Vagianou, Emmanouela</cp:lastModifiedBy>
  <dcterms:created xsi:type="dcterms:W3CDTF">2025-07-16T14:27:21Z</dcterms:created>
  <dcterms:modified xsi:type="dcterms:W3CDTF">2025-12-14T17:45:49Z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59ef8e5-3aaa-41a0-b30c-a77b6f506147_Enabled">
    <vt:lpwstr>true</vt:lpwstr>
  </property>
  <property fmtid="{D5CDD505-2E9C-101B-9397-08002B2CF9AE}" pid="3" name="MSIP_Label_459ef8e5-3aaa-41a0-b30c-a77b6f506147_SetDate">
    <vt:lpwstr>2024-04-16T15:52:12Z</vt:lpwstr>
  </property>
  <property fmtid="{D5CDD505-2E9C-101B-9397-08002B2CF9AE}" pid="4" name="MSIP_Label_459ef8e5-3aaa-41a0-b30c-a77b6f506147_Method">
    <vt:lpwstr>Standard</vt:lpwstr>
  </property>
  <property fmtid="{D5CDD505-2E9C-101B-9397-08002B2CF9AE}" pid="5" name="MSIP_Label_459ef8e5-3aaa-41a0-b30c-a77b6f506147_Name">
    <vt:lpwstr>Internal</vt:lpwstr>
  </property>
  <property fmtid="{D5CDD505-2E9C-101B-9397-08002B2CF9AE}" pid="6" name="MSIP_Label_459ef8e5-3aaa-41a0-b30c-a77b6f506147_SiteId">
    <vt:lpwstr>9343c96b-27bb-4092-add6-977870612481</vt:lpwstr>
  </property>
  <property fmtid="{D5CDD505-2E9C-101B-9397-08002B2CF9AE}" pid="7" name="MSIP_Label_459ef8e5-3aaa-41a0-b30c-a77b6f506147_ActionId">
    <vt:lpwstr>efd3d947-911d-4f61-9e62-8bd28f73bed7</vt:lpwstr>
  </property>
  <property fmtid="{D5CDD505-2E9C-101B-9397-08002B2CF9AE}" pid="8" name="MSIP_Label_459ef8e5-3aaa-41a0-b30c-a77b6f506147_ContentBits">
    <vt:lpwstr>0</vt:lpwstr>
  </property>
  <property fmtid="{D5CDD505-2E9C-101B-9397-08002B2CF9AE}" pid="9" name="MSIP_Label_ea60d57e-af5b-4752-ac57-3e4f28ca11dc_Enabled">
    <vt:lpwstr>true</vt:lpwstr>
  </property>
  <property fmtid="{D5CDD505-2E9C-101B-9397-08002B2CF9AE}" pid="10" name="MSIP_Label_ea60d57e-af5b-4752-ac57-3e4f28ca11dc_SetDate">
    <vt:lpwstr>2025-01-08T13:10:01Z</vt:lpwstr>
  </property>
  <property fmtid="{D5CDD505-2E9C-101B-9397-08002B2CF9AE}" pid="11" name="MSIP_Label_ea60d57e-af5b-4752-ac57-3e4f28ca11dc_Method">
    <vt:lpwstr>Standard</vt:lpwstr>
  </property>
  <property fmtid="{D5CDD505-2E9C-101B-9397-08002B2CF9AE}" pid="12" name="MSIP_Label_ea60d57e-af5b-4752-ac57-3e4f28ca11dc_Name">
    <vt:lpwstr>ea60d57e-af5b-4752-ac57-3e4f28ca11dc</vt:lpwstr>
  </property>
  <property fmtid="{D5CDD505-2E9C-101B-9397-08002B2CF9AE}" pid="13" name="MSIP_Label_ea60d57e-af5b-4752-ac57-3e4f28ca11dc_SiteId">
    <vt:lpwstr>36da45f1-dd2c-4d1f-af13-5abe46b99921</vt:lpwstr>
  </property>
  <property fmtid="{D5CDD505-2E9C-101B-9397-08002B2CF9AE}" pid="14" name="MSIP_Label_ea60d57e-af5b-4752-ac57-3e4f28ca11dc_ActionId">
    <vt:lpwstr>88b50c29-84ea-430b-8042-61ba138bac97</vt:lpwstr>
  </property>
  <property fmtid="{D5CDD505-2E9C-101B-9397-08002B2CF9AE}" pid="15" name="MSIP_Label_ea60d57e-af5b-4752-ac57-3e4f28ca11dc_ContentBits">
    <vt:lpwstr>0</vt:lpwstr>
  </property>
  <property fmtid="{D5CDD505-2E9C-101B-9397-08002B2CF9AE}" pid="16" name="TemplafyTenantId">
    <vt:lpwstr>deloittecm</vt:lpwstr>
  </property>
  <property fmtid="{D5CDD505-2E9C-101B-9397-08002B2CF9AE}" pid="17" name="TemplafyTemplateId">
    <vt:lpwstr>1204311811334602779</vt:lpwstr>
  </property>
  <property fmtid="{D5CDD505-2E9C-101B-9397-08002B2CF9AE}" pid="18" name="TemplafyUserProfileId">
    <vt:lpwstr>965782555394050490</vt:lpwstr>
  </property>
  <property fmtid="{D5CDD505-2E9C-101B-9397-08002B2CF9AE}" pid="19" name="TemplafyFromBlank">
    <vt:bool>true</vt:bool>
  </property>
</Properties>
</file>